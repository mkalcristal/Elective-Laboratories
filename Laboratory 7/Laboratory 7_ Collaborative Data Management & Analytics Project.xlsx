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Data" sheetId="1" r:id="rId5"/>
    <sheet state="visible" name="Product Reference Table" sheetId="2" r:id="rId6"/>
    <sheet state="visible" name="Formula and Logic" sheetId="3" r:id="rId7"/>
    <sheet state="visible" name="Analytics Summary" sheetId="4" r:id="rId8"/>
    <sheet state="visible" name="Dashboard" sheetId="5" r:id="rId9"/>
    <sheet state="visible" name="Quality Assurance &amp; Documentati" sheetId="6" r:id="rId10"/>
    <sheet state="visible" name="Reflections" sheetId="7" r:id="rId11"/>
  </sheets>
  <definedNames>
    <definedName hidden="1" localSheetId="0" name="Z_FC6568B1_7142_4499_8FAB_4861E7EA9F38_.wvu.FilterData">Sales_Data!$A$1:$H$61</definedName>
    <definedName name="SlicerCache_Table_1_Col_2">#N/A</definedName>
    <definedName name="SlicerCache_Table_1_Col_5">#N/A</definedName>
    <definedName name="SlicerCache_Table_1_Col_7">#N/A</definedName>
  </definedNames>
  <calcPr/>
  <customWorkbookViews>
    <customWorkbookView activeSheetId="0" maximized="1" windowHeight="0" windowWidth="0" guid="{FC6568B1-7142-4499-8FAB-4861E7EA9F38}" name="Filter 1"/>
  </customWorkbookViews>
  <pivotCaches>
    <pivotCache cacheId="0" r:id="rId12"/>
    <pivotCache cacheId="1" r:id="rId13"/>
  </pivotCaches>
  <extLst>
    <ext uri="{46BE6895-7355-4a93-B00E-2C351335B9C9}">
      <x15:slicerCaches>
        <x14:slicerCache r:id="rId14"/>
        <x14:slicerCache r:id="rId15"/>
        <x14:slicerCache r:id="rId16"/>
      </x15:slicerCaches>
    </ext>
  </extLst>
</workbook>
</file>

<file path=xl/sharedStrings.xml><?xml version="1.0" encoding="utf-8"?>
<sst xmlns="http://schemas.openxmlformats.org/spreadsheetml/2006/main" count="386" uniqueCount="177">
  <si>
    <t>Sales ID</t>
  </si>
  <si>
    <t>Product Category</t>
  </si>
  <si>
    <t>Units Sold</t>
  </si>
  <si>
    <t>Unit Price</t>
  </si>
  <si>
    <t>Salesperson</t>
  </si>
  <si>
    <t>Date</t>
  </si>
  <si>
    <t>Region</t>
  </si>
  <si>
    <t>Revenue</t>
  </si>
  <si>
    <t>S001</t>
  </si>
  <si>
    <t>Software</t>
  </si>
  <si>
    <t>Ana Cruz</t>
  </si>
  <si>
    <t>East</t>
  </si>
  <si>
    <t>S002</t>
  </si>
  <si>
    <t>Hardware</t>
  </si>
  <si>
    <t>John Lee</t>
  </si>
  <si>
    <t>West</t>
  </si>
  <si>
    <t>S003</t>
  </si>
  <si>
    <t>Subscription</t>
  </si>
  <si>
    <t>Maria Santos</t>
  </si>
  <si>
    <t>South</t>
  </si>
  <si>
    <t>S004</t>
  </si>
  <si>
    <t>Accessories</t>
  </si>
  <si>
    <t>David Kim</t>
  </si>
  <si>
    <t>North</t>
  </si>
  <si>
    <t>S005</t>
  </si>
  <si>
    <t>Luis Garcia</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</si>
  <si>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</si>
  <si>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</si>
  <si>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</si>
  <si>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</si>
  <si>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</si>
  <si>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</si>
  <si>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</si>
  <si>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</si>
  <si>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</si>
  <si>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</si>
  <si>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</si>
  <si>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</si>
  <si>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</si>
  <si>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</si>
  <si>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</si>
  <si>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</si>
  <si>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</si>
  <si>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</si>
  <si>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</si>
  <si>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</si>
  <si>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</si>
  <si>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</si>
  <si>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</si>
  <si>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</si>
  <si>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</si>
  <si>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</si>
  <si>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</si>
  <si>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</si>
  <si>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</si>
  <si>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</si>
  <si>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</si>
  <si>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</si>
  <si>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</si>
  <si>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</si>
  <si>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</si>
  <si>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</si>
  <si>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</si>
  <si>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</si>
  <si>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</si>
  <si>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</si>
  <si>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</si>
  <si>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</si>
  <si>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</si>
  <si>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</si>
  <si>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</si>
  <si>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</si>
  <si>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</si>
  <si>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</si>
  <si>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</si>
  <si>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</si>
  <si>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</si>
  <si>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</si>
  <si>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</si>
  <si>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</si>
  <si>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</si>
  <si>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CATEGORY</t>
  </si>
  <si>
    <t>PRODUCT</t>
  </si>
  <si>
    <t>UNIT PRICE (PHP)</t>
  </si>
  <si>
    <t>SOFTWARE</t>
  </si>
  <si>
    <t>Antivirus Software License</t>
  </si>
  <si>
    <t>Project Management Software</t>
  </si>
  <si>
    <t>Accounting Software</t>
  </si>
  <si>
    <t>Graphic Design Software</t>
  </si>
  <si>
    <t>Video Editing Software</t>
  </si>
  <si>
    <t>HARDWARE</t>
  </si>
  <si>
    <t>Mechanical Keyboard</t>
  </si>
  <si>
    <t>Wireless Mouse</t>
  </si>
  <si>
    <t>External Hard Drive</t>
  </si>
  <si>
    <t>Gaming Headset</t>
  </si>
  <si>
    <t>Webcam</t>
  </si>
  <si>
    <t>SUBSCRIPTION</t>
  </si>
  <si>
    <t>Cloud Storage Subscription</t>
  </si>
  <si>
    <t>Online Learning Subscription</t>
  </si>
  <si>
    <t>Music Streaming Subscription</t>
  </si>
  <si>
    <t>Video Streaming Subscription</t>
  </si>
  <si>
    <t>Productivity App Subscription</t>
  </si>
  <si>
    <t>ACCESSORIES</t>
  </si>
  <si>
    <t>USB Flash Drive</t>
  </si>
  <si>
    <t>Phone Charger</t>
  </si>
  <si>
    <t>Laptop Sleeve</t>
  </si>
  <si>
    <t>Mouse Pad</t>
  </si>
  <si>
    <t>HDMI Cable</t>
  </si>
  <si>
    <t>Total Revenue (SUM)</t>
  </si>
  <si>
    <t>Average (AVERAGE)</t>
  </si>
  <si>
    <t>Sale Status (IF)</t>
  </si>
  <si>
    <t>Region Count (COUNTIF)</t>
  </si>
  <si>
    <t>Region Names</t>
  </si>
  <si>
    <t>Sales Tier (NESTED IF)</t>
  </si>
  <si>
    <t>Salesperson Revenue (SUMIF)</t>
  </si>
  <si>
    <t>Salesperson Name</t>
  </si>
  <si>
    <t>Search Sales ID (VLOOKUP)</t>
  </si>
  <si>
    <t>Product Category (VLOOKUP)</t>
  </si>
  <si>
    <t>Revenue (VLOOKUP)</t>
  </si>
  <si>
    <t>Slicer controls: Filters the raw data processed by all pivot tables</t>
  </si>
  <si>
    <t>Revenue per region/category</t>
  </si>
  <si>
    <t>SUM of Revenue</t>
  </si>
  <si>
    <t>Grand Total</t>
  </si>
  <si>
    <t>Monthly Trend Summary</t>
  </si>
  <si>
    <t>Date - Year-Month</t>
  </si>
  <si>
    <t>SUM of Units Sold</t>
  </si>
  <si>
    <t>2026-Jan</t>
  </si>
  <si>
    <t>2026-Feb</t>
  </si>
  <si>
    <t>2026-Mar</t>
  </si>
  <si>
    <t>SALES ANALYTICS DASHBOARD</t>
  </si>
  <si>
    <t>Total Revenue</t>
  </si>
  <si>
    <t>Average Revenue</t>
  </si>
  <si>
    <t>Highest Revenue</t>
  </si>
  <si>
    <t xml:space="preserve"> Lowest Revenue</t>
  </si>
  <si>
    <t>Project Title:</t>
  </si>
  <si>
    <t>Laboratory 7: Collaborative Data Management &amp; Analytics Project</t>
  </si>
  <si>
    <t>Document Audited:</t>
  </si>
  <si>
    <t>Sales_Data</t>
  </si>
  <si>
    <t>Quality Assurance &amp; Documentation Officer:</t>
  </si>
  <si>
    <t>Jude Bernard Anthony L. Ramil</t>
  </si>
  <si>
    <t>Status:</t>
  </si>
  <si>
    <t>CLEARED / VERIFIED</t>
  </si>
  <si>
    <t>I have reviewed the attached sales records named, "Sales_Data" and I have assured that this data is consistent with the project's requirements that was set by the company. This dataset is hereby authorized for use in the Analytics and Visualization as we move on to this phase to another.</t>
  </si>
  <si>
    <t>Below are the evidences that made this data pass:</t>
  </si>
  <si>
    <r>
      <rPr>
        <rFont val="Arial"/>
        <b/>
        <color theme="1"/>
      </rPr>
      <t>Categorization:</t>
    </r>
    <r>
      <rPr>
        <rFont val="Arial"/>
        <color theme="1"/>
      </rPr>
      <t xml:space="preserve"> Products are correctly sorted into Software, Hardware, Subscription, and Accessories for easy pivot table generation. </t>
    </r>
  </si>
  <si>
    <r>
      <rPr>
        <rFont val="Arial"/>
        <b/>
        <color theme="1"/>
      </rPr>
      <t>Data Completeness:</t>
    </r>
    <r>
      <rPr>
        <rFont val="Arial"/>
        <color theme="1"/>
      </rPr>
      <t xml:space="preserve"> All mandatory fields, including Product Category, Units Sold, and Salesperson, are well mandated. Albeit it not being random enough. </t>
    </r>
  </si>
  <si>
    <r>
      <rPr>
        <rFont val="Arial"/>
        <b/>
        <color theme="1"/>
      </rPr>
      <t>Logical Consistency:</t>
    </r>
    <r>
      <rPr>
        <rFont val="Arial"/>
        <color theme="1"/>
      </rPr>
      <t xml:space="preserve"> Revenue figures and "Save Status" (all marked as "Active") align with the expected data distribution for this laboratory.</t>
    </r>
  </si>
  <si>
    <r>
      <rPr>
        <rFont val="Arial"/>
        <b/>
        <color theme="1"/>
      </rPr>
      <t>Format Uniformity:</t>
    </r>
    <r>
      <rPr>
        <rFont val="Arial"/>
        <color theme="1"/>
      </rPr>
      <t xml:space="preserve"> Date structures and currency representations are accepted as presented for the purpose of this mock data exercise.</t>
    </r>
  </si>
  <si>
    <t>Each member must write a short paragraph (100–150 words) explaining:</t>
  </si>
  <si>
    <t>Their assigned role</t>
  </si>
  <si>
    <t>Challenges faced</t>
  </si>
  <si>
    <t>One new skill learned</t>
  </si>
  <si>
    <t>NAME:</t>
  </si>
  <si>
    <t>Eman Torr G. Berjame</t>
  </si>
  <si>
    <t>Cristal, Mary Kristine Anne L.</t>
  </si>
  <si>
    <t>Lozano, Ianna E.</t>
  </si>
  <si>
    <t>Tasic, Harrel Henry L.</t>
  </si>
  <si>
    <t>ROLE:</t>
  </si>
  <si>
    <t>Formula and Logic Specialist</t>
  </si>
  <si>
    <t>Data Entry &amp; Cleaning Specialist</t>
  </si>
  <si>
    <t>Assistant Data Entry &amp; Cleaning Specialist</t>
  </si>
  <si>
    <t>-</t>
  </si>
  <si>
    <t>REFLECTION</t>
  </si>
  <si>
    <t>Being the Formula Specialist was more challenging than I expected. I thought it would be simple, but it required a lot of attention to detail.
The hardest parts were the nested IF for Sales Tier classification and getting COUNTIF and SUMIF arguments in the right order. VLOOKUP also gave me trouble since our Sales IDs were in text format, so even a small mismatch would return an error. Referencing data across two sheets made things more complicated as well.
Overall, it taught me that understanding the data structure matters just as much as knowing the formula itself. Frustrating at times, but worth it once everything worked.</t>
  </si>
  <si>
    <t>As the Data Entry &amp; Cleaning Specialist, my main role was to create and organize the dataset used in startup sales and revenue analytics. I was responsible for entering the collected data into a structured format and making sure that all information was consistent and properly arranged. I also checked for errors, removed any unnecessary details, and standardized the formatting so that the dataset would be easier to analyze. My contribution helped ensure that the data used by the team was already organized and thoroughly checked. One of the challenges I faced was dealing with inconsistent data formats and making sure that everything is good, which required careful checking and corrections. Through this experience, I learned a new skill in data cleaning and organization, particularly how to maintain consistency and accuracy when handling large amounts of information.</t>
  </si>
  <si>
    <t>My assigned role was an assistant data entry and cleaning specialist. I mainly had to support the primary data entry specialist by checking and cleaning the spreadsheet after the initial entries were made. I helped review the dataset to make sure the values were consistent, corrected small formatting issues, and added any missing information when needed. My responsibility was mostly to make sure everything looked organized and accurate before the analysis was finalized since I was working after the main entries were already done. I also assisted making comments to make sure the data and formatting are correct. One challenge I faced was carefully reviewing  data without overlooking small errors that could affect the results. Through this task, I learned the importance of data cleaning and attention to detail, as well as how even small adjustments in a dataset can improve the overall quality of the analysis.</t>
  </si>
  <si>
    <t>Ramil, Jude Bernard Anthony L.</t>
  </si>
  <si>
    <t>Molero, Raffi O.</t>
  </si>
  <si>
    <t>Ariño, Cedric D.</t>
  </si>
  <si>
    <t>Eroy, Derick Lance</t>
  </si>
  <si>
    <t>Quality Assurance &amp; Documentation Officer</t>
  </si>
  <si>
    <t>Pivot Specialist</t>
  </si>
  <si>
    <t>Dashboard Designer</t>
  </si>
  <si>
    <t>Project Manager</t>
  </si>
  <si>
    <t>As a quality assurance and documentation officer. I contributed by creating a clear pass to our Sales_data sheet. I also viewed the datas and any anomalies to point out to my group to keep the data in shape and in quality to be sent, albeit that this is only a mock data, I think it is a good discipline practice to see errors and attend to them immediately as data is tricky and become a “mass” in the crowd to be spotted that easily. One of the challenging parts for me is to seek out the errors in every corner of the present data. I gained a skill to be assured of data quality by becoming some sort of a “error hunter” and then issuing a pass that this report is clear for my group to proceed. I can use this for my future endeavors.</t>
  </si>
  <si>
    <t>Pivot tables seemed like a complicated concept, but they turned out to be very easy to make. All I had to do was select the whole table, get specific rows and columns, and select what I wanted to see, and the values were very quickly auto-computed for me. Editing them was also quite easy, thanks to Google Sheets' UI. I explored the idea of using filters, but I found that using Slicers to very quickly select which data we want is much faster and more comfortable than individual table filters, in my opinion. Maybe the most difficult part is figuring out how to put multiple of them in the same sheet without accidentally causing overlap when the filters change. This is why I placed the monthly trends at the bottom. For example if we had 5 years' worth of data, my monthly trends table should not be placed above any other tables, because it might grow and overlap other tables, which may cause issues that I don't currently know about.</t>
  </si>
  <si>
    <t>As the Dashboard Designer, my primary responsibility was to transform our group's processed data into a clear, visually compelling dashboard. I contributed by building the three required charts alongside the summary metrics section. One of the main challenges I encountered was ensuring that all data ranges and formulas were correctly defined so that each chart accurately reflected the dataset. I also had to make sure each chart presented the data in a way that was easy to read and interpret, keeping the layout clean and avoiding visual clutter. Through this experience, I learned how to design a dashboard that balances both accuracy and clarity, which strengthened my overall proficiency in data visualization.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</si>
</sst>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yyyy-mm-dd"/>
    <numFmt numFmtId="166" formatCode="m/d/yyyy h:mm:ss"/>
  </numFmts>
  <fonts count="9">
    <font>
      <sz val="10.0"/>
      <color rgb="FF000000"/>
      <name val="Arial"/>
      <scheme val="minor"/>
    </font>
    <font>
      <color theme="1"/>
      <name val="Arial"/>
      <scheme val="minor"/>
    </font>
    <font>
      <color theme="1"/>
      <name val="Arial"/>
    </font>
    <font>
      <b/>
      <color theme="1"/>
      <name val="Arial"/>
      <scheme val="minor"/>
    </font>
    <font/>
    <font>
      <color theme="1"/>
      <name val="Roboto"/>
    </font>
    <font>
      <sz val="12.0"/>
      <color rgb="FF212121"/>
      <name val="Poppins"/>
    </font>
    <font>
      <color theme="1"/>
      <name val="Times New Roman"/>
    </font>
    <font>
      <b/>
      <color theme="1"/>
      <name val="Arial"/>
    </font>
  </fonts>
  <fills count="9">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EA9999"/>
        <bgColor rgb="FFEA9999"/>
      </patternFill>
    </fill>
    <fill>
      <patternFill patternType="solid">
        <fgColor rgb="FFE06666"/>
        <bgColor rgb="FFE06666"/>
      </patternFill>
    </fill>
    <fill>
      <patternFill patternType="solid">
        <fgColor rgb="FF6FA8DC"/>
        <bgColor rgb="FF6FA8DC"/>
      </patternFill>
    </fill>
    <fill>
      <patternFill patternType="solid">
        <fgColor rgb="FF00FF00"/>
        <bgColor rgb="FF00FF00"/>
      </patternFill>
    </fill>
    <fill>
      <patternFill patternType="solid">
        <fgColor rgb="FFFFFFFF"/>
        <bgColor rgb="FFFFFFFF"/>
      </patternFill>
    </fill>
  </fills>
  <borders count="15">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49" xfId="0" applyAlignment="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2" numFmtId="164" xfId="0" applyAlignment="1" applyFont="1" applyNumberFormat="1">
      <alignment shrinkToFit="0" vertical="bottom" wrapText="0"/>
    </xf>
    <xf borderId="0" fillId="0" fontId="2" numFmtId="165" xfId="0" applyAlignment="1" applyFont="1" applyNumberFormat="1">
      <alignment horizontal="right" shrinkToFit="0" vertical="bottom" wrapText="0"/>
    </xf>
    <xf borderId="0" fillId="0" fontId="2"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1" fillId="2" fontId="3" numFmtId="0" xfId="0" applyAlignment="1" applyBorder="1" applyFill="1" applyFont="1">
      <alignment readingOrder="0"/>
    </xf>
    <xf borderId="2" fillId="3" fontId="1" numFmtId="0" xfId="0" applyAlignment="1" applyBorder="1" applyFill="1" applyFont="1">
      <alignment horizontal="center" readingOrder="0" vertical="center"/>
    </xf>
    <xf borderId="1" fillId="0" fontId="1" numFmtId="0" xfId="0" applyAlignment="1" applyBorder="1" applyFont="1">
      <alignment readingOrder="0" vertical="bottom"/>
    </xf>
    <xf borderId="1" fillId="0" fontId="1" numFmtId="164" xfId="0" applyAlignment="1" applyBorder="1" applyFont="1" applyNumberFormat="1">
      <alignment horizontal="right" readingOrder="0" vertical="bottom"/>
    </xf>
    <xf borderId="2" fillId="0" fontId="4" numFmtId="0" xfId="0" applyBorder="1" applyFont="1"/>
    <xf borderId="3" fillId="0" fontId="4" numFmtId="0" xfId="0" applyBorder="1" applyFont="1"/>
    <xf borderId="4" fillId="4" fontId="1" numFmtId="0" xfId="0" applyAlignment="1" applyBorder="1" applyFill="1" applyFont="1">
      <alignment horizontal="center" readingOrder="0" vertical="center"/>
    </xf>
    <xf borderId="5" fillId="0" fontId="4" numFmtId="0" xfId="0" applyBorder="1" applyFont="1"/>
    <xf borderId="6" fillId="0" fontId="4" numFmtId="0" xfId="0" applyBorder="1" applyFont="1"/>
    <xf borderId="4" fillId="5" fontId="1" numFmtId="0" xfId="0" applyAlignment="1" applyBorder="1" applyFill="1" applyFont="1">
      <alignment horizontal="center" readingOrder="0" vertical="center"/>
    </xf>
    <xf borderId="4" fillId="6" fontId="1" numFmtId="0" xfId="0" applyAlignment="1" applyBorder="1" applyFill="1" applyFont="1">
      <alignment horizontal="center" readingOrder="0" vertical="center"/>
    </xf>
    <xf borderId="0" fillId="0" fontId="5"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3" numFmtId="164" xfId="0" applyAlignment="1" applyFont="1" applyNumberForma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horizontal="center" shrinkToFit="0" vertical="center" wrapText="0"/>
    </xf>
    <xf borderId="0" fillId="0" fontId="1" numFmtId="0" xfId="0" applyAlignment="1" applyFont="1">
      <alignment shrinkToFit="0" vertical="center" wrapText="0"/>
    </xf>
    <xf borderId="0" fillId="0" fontId="1" numFmtId="0" xfId="0" applyAlignment="1" applyFont="1">
      <alignment horizontal="center" readingOrder="0" shrinkToFit="0" vertical="center" wrapText="0"/>
    </xf>
    <xf borderId="0" fillId="0" fontId="1" numFmtId="164" xfId="0" applyAlignment="1" applyFont="1" applyNumberFormat="1">
      <alignment horizontal="center" shrinkToFit="0" vertical="center" wrapText="0"/>
    </xf>
    <xf borderId="0" fillId="0" fontId="1" numFmtId="0" xfId="0" applyAlignment="1" applyFont="1">
      <alignment readingOrder="0"/>
    </xf>
    <xf borderId="0" fillId="0" fontId="1" numFmtId="0" xfId="0" applyFont="1"/>
    <xf borderId="0" fillId="0" fontId="1" numFmtId="164" xfId="0" applyFont="1" applyNumberFormat="1"/>
    <xf borderId="0" fillId="0" fontId="1" numFmtId="166" xfId="0" applyFont="1" applyNumberFormat="1"/>
    <xf borderId="0" fillId="0" fontId="1" numFmtId="0" xfId="0" applyFont="1"/>
    <xf borderId="0" fillId="3" fontId="3" numFmtId="0" xfId="0" applyAlignment="1" applyFont="1">
      <alignment horizontal="center" readingOrder="0"/>
    </xf>
    <xf borderId="0" fillId="0" fontId="3" numFmtId="0" xfId="0" applyAlignment="1" applyFont="1">
      <alignment readingOrder="0"/>
    </xf>
    <xf borderId="0" fillId="7" fontId="1" numFmtId="0" xfId="0" applyAlignment="1" applyFill="1" applyFont="1">
      <alignment readingOrder="0"/>
    </xf>
    <xf borderId="0" fillId="0" fontId="1" numFmtId="0" xfId="0" applyAlignment="1" applyFont="1">
      <alignment readingOrder="0" shrinkToFit="0" wrapText="1"/>
    </xf>
    <xf borderId="7" fillId="8" fontId="6" numFmtId="0" xfId="0" applyAlignment="1" applyBorder="1" applyFill="1" applyFont="1">
      <alignment horizontal="left" readingOrder="0"/>
    </xf>
    <xf borderId="8" fillId="0" fontId="1" numFmtId="0" xfId="0" applyBorder="1" applyFont="1"/>
    <xf borderId="9" fillId="0" fontId="1" numFmtId="0" xfId="0" applyBorder="1" applyFont="1"/>
    <xf borderId="10" fillId="8" fontId="6" numFmtId="0" xfId="0" applyAlignment="1" applyBorder="1" applyFont="1">
      <alignment horizontal="left"/>
    </xf>
    <xf borderId="2" fillId="0" fontId="1" numFmtId="0" xfId="0" applyBorder="1" applyFont="1"/>
    <xf borderId="10" fillId="8" fontId="6" numFmtId="0" xfId="0" applyAlignment="1" applyBorder="1" applyFont="1">
      <alignment horizontal="left" readingOrder="0"/>
    </xf>
    <xf borderId="11" fillId="8" fontId="6" numFmtId="0" xfId="0" applyAlignment="1" applyBorder="1" applyFont="1">
      <alignment horizontal="left" readingOrder="0"/>
    </xf>
    <xf borderId="12" fillId="0" fontId="1" numFmtId="0" xfId="0" applyBorder="1" applyFont="1"/>
    <xf borderId="3" fillId="0" fontId="1" numFmtId="0" xfId="0" applyBorder="1" applyFont="1"/>
    <xf borderId="1" fillId="0" fontId="3" numFmtId="0" xfId="0" applyAlignment="1" applyBorder="1" applyFont="1">
      <alignment readingOrder="0"/>
    </xf>
    <xf borderId="13" fillId="0" fontId="7" numFmtId="0" xfId="0" applyAlignment="1" applyBorder="1" applyFont="1">
      <alignment readingOrder="0"/>
    </xf>
    <xf borderId="13" fillId="0" fontId="4" numFmtId="0" xfId="0" applyBorder="1" applyFont="1"/>
    <xf borderId="14" fillId="0" fontId="4" numFmtId="0" xfId="0" applyBorder="1" applyFont="1"/>
    <xf borderId="6" fillId="0" fontId="3" numFmtId="0" xfId="0" applyAlignment="1" applyBorder="1" applyFont="1">
      <alignment readingOrder="0"/>
    </xf>
    <xf borderId="12" fillId="0" fontId="7" numFmtId="0" xfId="0" applyAlignment="1" applyBorder="1" applyFont="1">
      <alignment readingOrder="0"/>
    </xf>
    <xf borderId="12" fillId="0" fontId="4" numFmtId="0" xfId="0" applyBorder="1" applyFont="1"/>
    <xf borderId="6" fillId="0" fontId="8" numFmtId="0" xfId="0" applyAlignment="1" applyBorder="1" applyFont="1">
      <alignment readingOrder="0"/>
    </xf>
    <xf borderId="11" fillId="0" fontId="2" numFmtId="0" xfId="0" applyAlignment="1" applyBorder="1" applyFont="1">
      <alignment horizontal="center" readingOrder="0"/>
    </xf>
    <xf borderId="11" fillId="0" fontId="1" numFmtId="0" xfId="0" applyAlignment="1" applyBorder="1" applyFont="1">
      <alignment horizontal="center" readingOrder="0"/>
    </xf>
    <xf borderId="10" fillId="0" fontId="7" numFmtId="0" xfId="0" applyAlignment="1" applyBorder="1" applyFont="1">
      <alignment readingOrder="0" shrinkToFit="0" vertical="top" wrapText="1"/>
    </xf>
    <xf borderId="10" fillId="0" fontId="7" numFmtId="0" xfId="0" applyAlignment="1" applyBorder="1" applyFont="1">
      <alignment horizontal="left" readingOrder="0" shrinkToFit="0" vertical="top" wrapText="1"/>
    </xf>
    <xf borderId="10" fillId="0" fontId="4" numFmtId="0" xfId="0" applyBorder="1" applyFont="1"/>
    <xf borderId="11" fillId="0" fontId="4" numFmtId="0" xfId="0" applyBorder="1" applyFont="1"/>
  </cellXfs>
  <cellStyles count="1">
    <cellStyle xfId="0" name="Normal" builtinId="0"/>
  </cellStyles>
  <dxfs count="5">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s>
  <tableStyles count="2">
    <tableStyle count="4" pivot="0" name="Sales_Data-style">
      <tableStyleElement dxfId="1" type="headerRow"/>
      <tableStyleElement dxfId="2" type="firstRowStripe"/>
      <tableStyleElement dxfId="3" type="secondRowStripe"/>
      <tableStyleElement dxfId="4" size="0" type="wholeTable"/>
    </tableStyle>
    <tableStyle count="4" pivot="0" name="Formula and Logic-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2.xml"/><Relationship Id="rId14" Type="http://schemas.microsoft.com/office/2007/relationships/slicerCache" Target="slicerCaches/slicerCache1.xml"/><Relationship Id="rId16"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by Product Category</a:t>
            </a:r>
          </a:p>
        </c:rich>
      </c:tx>
      <c:overlay val="0"/>
    </c:title>
    <c:plotArea>
      <c:layout/>
      <c:barChart>
        <c:barDir val="bar"/>
        <c:ser>
          <c:idx val="0"/>
          <c:order val="0"/>
          <c:tx>
            <c:strRef>
              <c:f>'Analytics Summary'!$F$6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'Analytics Summary'!$A$7:$A$10</c:f>
            </c:strRef>
          </c:cat>
          <c:val>
            <c:numRef>
              <c:f>'Analytics Summary'!$F$7:$F$10</c:f>
              <c:numCache/>
            </c:numRef>
          </c:val>
        </c:ser>
        <c:axId val="2106559421"/>
        <c:axId val="258237640"/>
      </c:barChart>
      <c:catAx>
        <c:axId val="210655942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58237640"/>
      </c:catAx>
      <c:valAx>
        <c:axId val="2582376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6559421"/>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Distribution by Region</a:t>
            </a:r>
          </a:p>
        </c:rich>
      </c:tx>
      <c:overlay val="0"/>
    </c:title>
    <c:plotArea>
      <c:layout/>
      <c:pieChart>
        <c:varyColors val="1"/>
        <c:ser>
          <c:idx val="0"/>
          <c:order val="0"/>
          <c:tx>
            <c:strRef>
              <c:f>'Analytics Summary'!$A$11</c:f>
            </c:strRef>
          </c:tx>
          <c:dPt>
            <c:idx val="0"/>
            <c:spPr>
              <a:solidFill>
                <a:srgbClr val="4285F4"/>
              </a:solidFill>
            </c:spPr>
          </c:dPt>
          <c:dLbls>
            <c:showLegendKey val="0"/>
            <c:showVal val="0"/>
            <c:showCatName val="0"/>
            <c:showSerName val="0"/>
            <c:showPercent val="1"/>
            <c:showBubbleSize val="0"/>
            <c:showLeaderLines val="1"/>
          </c:dLbls>
          <c:cat>
            <c:strRef>
              <c:f>'Analytics Summary'!$B$6:$E$6</c:f>
            </c:strRef>
          </c:cat>
          <c:val>
            <c:numRef>
              <c:f>'Analytics Summary'!$B$11:$E$11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Revenue Trend</a:t>
            </a:r>
          </a:p>
        </c:rich>
      </c:tx>
      <c:overlay val="0"/>
    </c:title>
    <c:plotArea>
      <c:layout/>
      <c:lineChart>
        <c:ser>
          <c:idx val="0"/>
          <c:order val="0"/>
          <c:tx>
            <c:strRef>
              <c:f>'Analytics Summary'!$A$19</c:f>
            </c:strRef>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val>
            <c:numRef>
              <c:f>'Analytics Summary'!$A$20:$A$22</c:f>
              <c:numCache/>
            </c:numRef>
          </c:val>
          <c:smooth val="0"/>
        </c:ser>
        <c:axId val="1681791582"/>
        <c:axId val="820991480"/>
      </c:lineChart>
      <c:catAx>
        <c:axId val="16817915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20991480"/>
      </c:catAx>
      <c:valAx>
        <c:axId val="8209914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1791582"/>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447675</xdr:colOff>
      <xdr:row>1</xdr:row>
      <xdr:rowOff>76200</xdr:rowOff>
    </xdr:from>
    <xdr:ext cx="2857500" cy="2857500"/>
    <mc:AlternateContent>
      <mc:Choice Requires="sle15">
        <xdr:graphicFrame>
          <xdr:nvGraphicFramePr>
            <xdr:cNvPr id="1" name="Salesperson_1"/>
            <xdr:cNvGraphicFramePr/>
          </xdr:nvGraphicFramePr>
          <xdr:xfrm>
            <a:off x="0" y="0"/>
            <a:ext cx="0" cy="0"/>
          </xdr:xfrm>
          <a:graphic>
            <a:graphicData uri="http://schemas.microsoft.com/office/drawing/2010/slicer">
              <x3Unk:slicer name="Salespers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123825</xdr:colOff>
      <xdr:row>1</xdr:row>
      <xdr:rowOff>76200</xdr:rowOff>
    </xdr:from>
    <xdr:ext cx="285750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123825</xdr:colOff>
      <xdr:row>1</xdr:row>
      <xdr:rowOff>457200</xdr:rowOff>
    </xdr:from>
    <xdr:ext cx="2857500" cy="2857500"/>
    <mc:AlternateContent>
      <mc:Choice Requires="sle15">
        <xdr:graphicFrame>
          <xdr:nvGraphicFramePr>
            <xdr:cNvPr id="3" name="Product Category_3"/>
            <xdr:cNvGraphicFramePr/>
          </xdr:nvGraphicFramePr>
          <xdr:xfrm>
            <a:off x="0" y="0"/>
            <a:ext cx="0" cy="0"/>
          </xdr:xfrm>
          <a:graphic>
            <a:graphicData uri="http://schemas.microsoft.com/office/drawing/2010/slicer">
              <x3Unk:slicer name="Product Categor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476250</xdr:colOff>
      <xdr:row>1</xdr:row>
      <xdr:rowOff>0</xdr:rowOff>
    </xdr:from>
    <xdr:ext cx="5762625" cy="3581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952500</xdr:colOff>
      <xdr:row>19</xdr:row>
      <xdr:rowOff>190500</xdr:rowOff>
    </xdr:from>
    <xdr:ext cx="6257925" cy="3581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476250</xdr:colOff>
      <xdr:row>19</xdr:row>
      <xdr:rowOff>190500</xdr:rowOff>
    </xdr:from>
    <xdr:ext cx="5762625" cy="35814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61" sheet="Sales_Data"/>
  </cacheSource>
  <cacheFields>
    <cacheField name="Sales ID" numFmtId="0">
      <sharedItems>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haredItems>
    </cacheField>
    <cacheField name="Product Category" numFmtId="0">
      <sharedItems>
        <s v="Software"/>
        <s v="Hardware"/>
        <s v="Subscription"/>
        <s v="Accessories"/>
      </sharedItems>
    </cacheField>
    <cacheField name="Units Sold" numFmtId="0">
      <sharedItems containsSemiMixedTypes="0" containsString="0" containsNumber="1" containsInteger="1">
        <n v="15.0"/>
        <n v="8.0"/>
        <n v="30.0"/>
        <n v="25.0"/>
        <n v="12.0"/>
        <n v="5.0"/>
        <n v="45.0"/>
        <n v="40.0"/>
        <n v="20.0"/>
        <n v="10.0"/>
        <n v="50.0"/>
        <n v="35.0"/>
        <n v="18.0"/>
        <n v="6.0"/>
        <n v="28.0"/>
        <n v="22.0"/>
        <n v="14.0"/>
        <n v="9.0"/>
        <n v="38.0"/>
        <n v="16.0"/>
        <n v="7.0"/>
        <n v="42.0"/>
        <n v="27.0"/>
        <n v="19.0"/>
        <n v="11.0"/>
        <n v="33.0"/>
        <n v="29.0"/>
        <n v="21.0"/>
        <n v="4.0"/>
        <n v="37.0"/>
        <n v="26.0"/>
        <n v="13.0"/>
        <n v="48.0"/>
        <n v="34.0"/>
        <n v="17.0"/>
        <n v="31.0"/>
        <n v="36.0"/>
        <n v="24.0"/>
        <n v="44.0"/>
        <n v="23.0"/>
        <n v="39.0"/>
        <n v="46.0"/>
        <n v="32.0"/>
      </sharedItems>
    </cacheField>
    <cacheField name="Unit Price" numFmtId="164">
      <sharedItems containsSemiMixedTypes="0" containsString="0" containsNumber="1" containsInteger="1">
        <n v="120.0"/>
        <n v="250.0"/>
        <n v="40.0"/>
        <n v="15.0"/>
        <n v="150.0"/>
        <n v="300.0"/>
        <n v="35.0"/>
        <n v="20.0"/>
        <n v="110.0"/>
        <n v="275.0"/>
        <n v="30.0"/>
        <n v="18.0"/>
        <n v="130.0"/>
        <n v="320.0"/>
        <n v="45.0"/>
        <n v="22.0"/>
        <n v="140.0"/>
        <n v="260.0"/>
        <n v="38.0"/>
        <n v="19.0"/>
        <n v="125.0"/>
        <n v="310.0"/>
        <n v="36.0"/>
        <n v="17.0"/>
        <n v="135.0"/>
        <n v="290.0"/>
        <n v="37.0"/>
        <n v="21.0"/>
        <n v="115.0"/>
        <n v="350.0"/>
        <n v="39.0"/>
        <n v="23.0"/>
        <n v="145.0"/>
        <n v="330.0"/>
        <n v="32.0"/>
        <n v="16.0"/>
        <n v="155.0"/>
        <n v="280.0"/>
        <n v="41.0"/>
        <n v="24.0"/>
        <n v="118.0"/>
        <n v="340.0"/>
        <n v="34.0"/>
        <n v="128.0"/>
        <n v="295.0"/>
        <n v="42.0"/>
        <n v="160.0"/>
        <n v="305.0"/>
        <n v="33.0"/>
        <n v="132.0"/>
        <n v="315.0"/>
        <n v="142.0"/>
        <n v="360.0"/>
        <n v="31.0"/>
        <n v="25.0"/>
      </sharedItems>
    </cacheField>
    <cacheField name="Salesperson" numFmtId="0">
      <sharedItems>
        <s v="Ana Cruz"/>
        <s v="John Lee"/>
        <s v="Maria Santos"/>
        <s v="David Kim"/>
        <s v="Luis Garcia"/>
      </sharedItems>
    </cacheField>
    <cacheField name="Date" numFmtId="165">
      <sharedItems containsSemiMixedTypes="0" containsDate="1" containsString="0">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sharedItems>
    </cacheField>
    <cacheField name="Region" numFmtId="0">
      <sharedItems>
        <s v="East"/>
        <s v="West"/>
        <s v="South"/>
        <s v="North"/>
      </sharedItems>
    </cacheField>
    <cacheField name="Revenue" numFmtId="164">
      <sharedItems containsSemiMixedTypes="0" containsString="0" containsNumber="1" containsInteger="1">
        <n v="1800.0"/>
        <n v="2000.0"/>
        <n v="1200.0"/>
        <n v="375.0"/>
        <n v="1500.0"/>
        <n v="1575.0"/>
        <n v="800.0"/>
        <n v="2200.0"/>
        <n v="2750.0"/>
        <n v="630.0"/>
        <n v="2340.0"/>
        <n v="1920.0"/>
        <n v="1260.0"/>
        <n v="484.0"/>
        <n v="1960.0"/>
        <n v="1444.0"/>
        <n v="570.0"/>
        <n v="2170.0"/>
        <n v="1512.0"/>
        <n v="459.0"/>
        <n v="2565.0"/>
        <n v="3190.0"/>
        <n v="1221.0"/>
        <n v="609.0"/>
        <n v="2415.0"/>
        <n v="1400.0"/>
        <n v="1443.0"/>
        <n v="598.0"/>
        <n v="1885.0"/>
        <n v="2640.0"/>
        <n v="1536.0"/>
        <n v="544.0"/>
        <n v="2635.0"/>
        <n v="3360.0"/>
        <n v="1189.0"/>
        <n v="744.0"/>
        <n v="2596.0"/>
        <n v="2040.0"/>
        <n v="1224.0"/>
        <n v="560.0"/>
        <n v="3072.0"/>
        <n v="2655.0"/>
        <n v="1302.0"/>
        <n v="594.0"/>
        <n v="1760.0"/>
        <n v="3050.0"/>
        <n v="1452.0"/>
        <n v="684.0"/>
        <n v="3036.0"/>
        <n v="2205.0"/>
        <n v="528.0"/>
        <n v="2556.0"/>
        <n v="1426.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61" sheet="Sales_Data"/>
  </cacheSource>
  <cacheFields>
    <cacheField name="Sales ID" numFmtId="0">
      <sharedItems>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haredItems>
    </cacheField>
    <cacheField name="Product Category" numFmtId="0">
      <sharedItems>
        <s v="Software"/>
        <s v="Hardware"/>
        <s v="Subscription"/>
        <s v="Accessories"/>
      </sharedItems>
    </cacheField>
    <cacheField name="Units Sold" numFmtId="0">
      <sharedItems containsSemiMixedTypes="0" containsString="0" containsNumber="1" containsInteger="1">
        <n v="15.0"/>
        <n v="8.0"/>
        <n v="30.0"/>
        <n v="25.0"/>
        <n v="12.0"/>
        <n v="5.0"/>
        <n v="45.0"/>
        <n v="40.0"/>
        <n v="20.0"/>
        <n v="10.0"/>
        <n v="50.0"/>
        <n v="35.0"/>
        <n v="18.0"/>
        <n v="6.0"/>
        <n v="28.0"/>
        <n v="22.0"/>
        <n v="14.0"/>
        <n v="9.0"/>
        <n v="38.0"/>
        <n v="16.0"/>
        <n v="7.0"/>
        <n v="42.0"/>
        <n v="27.0"/>
        <n v="19.0"/>
        <n v="11.0"/>
        <n v="33.0"/>
        <n v="29.0"/>
        <n v="21.0"/>
        <n v="4.0"/>
        <n v="37.0"/>
        <n v="26.0"/>
        <n v="13.0"/>
        <n v="48.0"/>
        <n v="34.0"/>
        <n v="17.0"/>
        <n v="31.0"/>
        <n v="36.0"/>
        <n v="24.0"/>
        <n v="44.0"/>
        <n v="23.0"/>
        <n v="39.0"/>
        <n v="46.0"/>
        <n v="32.0"/>
      </sharedItems>
    </cacheField>
    <cacheField name="Unit Price" numFmtId="164">
      <sharedItems containsSemiMixedTypes="0" containsString="0" containsNumber="1" containsInteger="1">
        <n v="120.0"/>
        <n v="250.0"/>
        <n v="40.0"/>
        <n v="15.0"/>
        <n v="150.0"/>
        <n v="300.0"/>
        <n v="35.0"/>
        <n v="20.0"/>
        <n v="110.0"/>
        <n v="275.0"/>
        <n v="30.0"/>
        <n v="18.0"/>
        <n v="130.0"/>
        <n v="320.0"/>
        <n v="45.0"/>
        <n v="22.0"/>
        <n v="140.0"/>
        <n v="260.0"/>
        <n v="38.0"/>
        <n v="19.0"/>
        <n v="125.0"/>
        <n v="310.0"/>
        <n v="36.0"/>
        <n v="17.0"/>
        <n v="135.0"/>
        <n v="290.0"/>
        <n v="37.0"/>
        <n v="21.0"/>
        <n v="115.0"/>
        <n v="350.0"/>
        <n v="39.0"/>
        <n v="23.0"/>
        <n v="145.0"/>
        <n v="330.0"/>
        <n v="32.0"/>
        <n v="16.0"/>
        <n v="155.0"/>
        <n v="280.0"/>
        <n v="41.0"/>
        <n v="24.0"/>
        <n v="118.0"/>
        <n v="340.0"/>
        <n v="34.0"/>
        <n v="128.0"/>
        <n v="295.0"/>
        <n v="42.0"/>
        <n v="160.0"/>
        <n v="305.0"/>
        <n v="33.0"/>
        <n v="132.0"/>
        <n v="315.0"/>
        <n v="142.0"/>
        <n v="360.0"/>
        <n v="31.0"/>
        <n v="25.0"/>
      </sharedItems>
    </cacheField>
    <cacheField name="Salesperson" numFmtId="0">
      <sharedItems>
        <s v="Ana Cruz"/>
        <s v="John Lee"/>
        <s v="Maria Santos"/>
        <s v="David Kim"/>
        <s v="Luis Garcia"/>
      </sharedItems>
    </cacheField>
    <cacheField name="Date" numFmtId="165">
      <sharedItems containsSemiMixedTypes="0" containsDate="1" containsString="0">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sharedItems>
    </cacheField>
    <cacheField name="Region" numFmtId="0">
      <sharedItems>
        <s v="East"/>
        <s v="West"/>
        <s v="South"/>
        <s v="North"/>
      </sharedItems>
    </cacheField>
    <cacheField name="Revenue" numFmtId="164">
      <sharedItems containsSemiMixedTypes="0" containsString="0" containsNumber="1" containsInteger="1">
        <n v="1800.0"/>
        <n v="2000.0"/>
        <n v="1200.0"/>
        <n v="375.0"/>
        <n v="1500.0"/>
        <n v="1575.0"/>
        <n v="800.0"/>
        <n v="2200.0"/>
        <n v="2750.0"/>
        <n v="630.0"/>
        <n v="2340.0"/>
        <n v="1920.0"/>
        <n v="1260.0"/>
        <n v="484.0"/>
        <n v="1960.0"/>
        <n v="1444.0"/>
        <n v="570.0"/>
        <n v="2170.0"/>
        <n v="1512.0"/>
        <n v="459.0"/>
        <n v="2565.0"/>
        <n v="3190.0"/>
        <n v="1221.0"/>
        <n v="609.0"/>
        <n v="2415.0"/>
        <n v="1400.0"/>
        <n v="1443.0"/>
        <n v="598.0"/>
        <n v="1885.0"/>
        <n v="2640.0"/>
        <n v="1536.0"/>
        <n v="544.0"/>
        <n v="2635.0"/>
        <n v="3360.0"/>
        <n v="1189.0"/>
        <n v="744.0"/>
        <n v="2596.0"/>
        <n v="2040.0"/>
        <n v="1224.0"/>
        <n v="560.0"/>
        <n v="3072.0"/>
        <n v="2655.0"/>
        <n v="1302.0"/>
        <n v="594.0"/>
        <n v="1760.0"/>
        <n v="3050.0"/>
        <n v="1452.0"/>
        <n v="684.0"/>
        <n v="3036.0"/>
        <n v="2205.0"/>
        <n v="528.0"/>
        <n v="2556.0"/>
        <n v="1426.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Analytics Summary" cacheId="0" dataCaption="" compact="0" compactData="0">
  <location ref="A5:F11" firstHeaderRow="0" firstDataRow="1" firstDataCol="1"/>
  <pivotFields>
    <pivotField name="Sales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Category" axis="axisRow" compact="0" outline="0" multipleItemSelectionAllowed="1" showAll="0" sortType="ascending">
      <items>
        <item x="3"/>
        <item x="1"/>
        <item x="0"/>
        <item x="2"/>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Unit Pric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alesperson" compact="0" outline="0" multipleItemSelectionAllowed="1" showAll="0">
      <items>
        <item x="0"/>
        <item x="1"/>
        <item x="2"/>
        <item x="3"/>
        <item x="4"/>
        <item t="default"/>
      </items>
    </pivotField>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Region" axis="axisCol" compact="0" outline="0" multipleItemSelectionAllowed="1" showAll="0" sortType="ascending">
      <items>
        <item x="0"/>
        <item x="3"/>
        <item x="2"/>
        <item x="1"/>
        <item t="default"/>
      </items>
    </pivotField>
    <pivotField name="Revenu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field x="1"/>
  </rowFields>
  <colFields>
    <field x="6"/>
  </colFields>
  <dataFields>
    <dataField name="SUM of Revenue" fld="7" baseField="0"/>
  </dataFields>
</pivotTableDefinition>
</file>

<file path=xl/pivotTables/pivotTable2.xml><?xml version="1.0" encoding="utf-8"?>
<pivotTableDefinition xmlns="http://schemas.openxmlformats.org/spreadsheetml/2006/main" name="Analytics Summary 2" cacheId="1" dataCaption="" compact="0" compactData="0">
  <location ref="A19:C23" firstHeaderRow="0" firstDataRow="2" firstDataCol="0"/>
  <pivotFields>
    <pivotField name="Sales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Product Category" compact="0" outline="0" multipleItemSelectionAllowed="1" showAll="0">
      <items>
        <item x="0"/>
        <item x="1"/>
        <item x="2"/>
        <item x="3"/>
        <item t="default"/>
      </items>
    </pivotField>
    <pivotField name="Units 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Unit Pric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alesperson" compact="0" outline="0" multipleItemSelectionAllowed="1" showAll="0">
      <items>
        <item x="0"/>
        <item x="1"/>
        <item x="2"/>
        <item x="3"/>
        <item x="4"/>
        <item t="default"/>
      </items>
    </pivotField>
    <pivotField name="Date" axis="axisRow" compact="0" numFmtId="165"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Region" compact="0" outline="0" multipleItemSelectionAllowed="1" showAll="0">
      <items>
        <item x="0"/>
        <item x="1"/>
        <item x="2"/>
        <item x="3"/>
        <item t="default"/>
      </items>
    </pivotField>
    <pivotField name="Revenu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field x="5"/>
  </rowFields>
  <colFields>
    <field x="-2"/>
  </colFields>
  <dataFields>
    <dataField name="SUM of Units Sold" fld="2" baseField="0"/>
    <dataField name="SUM of Revenue" fld="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Product Category">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Salesperson">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Region">
  <x14:extLst>
    <ext uri="{2F2917AC-EB37-4324-AD4E-5DD8C200BD13}">
      <x15:tableSlicerCache tableId="1"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alesperson_1" cache="SlicerCache_Table_1_Col_5" caption="Salesperson" rowHeight="247650"/>
  <x14:slicer name="Region_2" cache="SlicerCache_Table_1_Col_7" caption="Region" rowHeight="247650"/>
  <x14:slicer name="Product Category_3" cache="SlicerCache_Table_1_Col_2" caption="Product Category" rowHeight="247650"/>
</x14:slicers>
</file>

<file path=xl/tables/table1.xml><?xml version="1.0" encoding="utf-8"?>
<table xmlns="http://schemas.openxmlformats.org/spreadsheetml/2006/main" ref="A1:H61" displayName="Startup_Sales_and_Revenue_Analytics" name="Startup_Sales_and_Revenue_Analytics" id="1">
  <autoFilter ref="$A$1:$H$61"/>
  <tableColumns count="8">
    <tableColumn name="Sales ID" id="1"/>
    <tableColumn name="Product Category" id="2"/>
    <tableColumn name="Units Sold" id="3"/>
    <tableColumn name="Unit Price" id="4"/>
    <tableColumn name="Salesperson" id="5"/>
    <tableColumn name="Date" id="6"/>
    <tableColumn name="Region" id="7"/>
    <tableColumn name="Revenue" id="8"/>
  </tableColumns>
  <tableStyleInfo name="Sales_Data-style" showColumnStripes="0" showFirstColumn="1" showLastColumn="1" showRowStripes="1"/>
</table>
</file>

<file path=xl/tables/table2.xml><?xml version="1.0" encoding="utf-8"?>
<table xmlns="http://schemas.openxmlformats.org/spreadsheetml/2006/main" ref="A1:K61" displayName="FORMULA_AND_LOGIC" name="FORMULA_AND_LOGIC" id="2">
  <tableColumns count="11">
    <tableColumn name="Total Revenue (SUM)" id="1"/>
    <tableColumn name="Average (AVERAGE)" id="2"/>
    <tableColumn name="Sale Status (IF)" id="3"/>
    <tableColumn name="Region Count (COUNTIF)" id="4"/>
    <tableColumn name="Region Names" id="5"/>
    <tableColumn name="Sales Tier (NESTED IF)" id="6"/>
    <tableColumn name="Salesperson Revenue (SUMIF)" id="7"/>
    <tableColumn name="Salesperson Name" id="8"/>
    <tableColumn name="Search Sales ID (VLOOKUP)" id="9"/>
    <tableColumn name="Product Category (VLOOKUP)" id="10"/>
    <tableColumn name="Revenue (VLOOKUP)" id="11"/>
  </tableColumns>
  <tableStyleInfo name="Formula and Logi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0.13"/>
    <col customWidth="1" min="3" max="3" width="22.63"/>
    <col customWidth="1" min="4" max="4" width="15.88"/>
    <col customWidth="1" min="5" max="5" width="20.13"/>
    <col customWidth="1" min="6" max="6" width="16.38"/>
    <col customWidth="1" min="7" max="8" width="15.13"/>
    <col customWidth="1" min="9" max="9" width="16.63"/>
  </cols>
  <sheetData>
    <row r="1" ht="22.5" customHeight="1">
      <c r="A1" s="1" t="s">
        <v>0</v>
      </c>
      <c r="B1" s="1" t="s">
        <v>1</v>
      </c>
      <c r="C1" s="1" t="s">
        <v>2</v>
      </c>
      <c r="D1" s="1" t="s">
        <v>3</v>
      </c>
      <c r="E1" s="1" t="s">
        <v>4</v>
      </c>
      <c r="F1" s="1" t="s">
        <v>5</v>
      </c>
      <c r="G1" s="1" t="s">
        <v>6</v>
      </c>
      <c r="H1" s="1" t="s">
        <v>7</v>
      </c>
    </row>
    <row r="2" ht="22.5" customHeight="1">
      <c r="A2" s="2" t="s">
        <v>8</v>
      </c>
      <c r="B2" s="3" t="s">
        <v>9</v>
      </c>
      <c r="C2" s="4">
        <v>15.0</v>
      </c>
      <c r="D2" s="5">
        <v>120.0</v>
      </c>
      <c r="E2" s="3" t="s">
        <v>10</v>
      </c>
      <c r="F2" s="6">
        <v>46025.0</v>
      </c>
      <c r="G2" s="7" t="s">
        <v>11</v>
      </c>
      <c r="H2" s="5">
        <f t="shared" ref="H2:H61" si="1">C2*D2</f>
        <v>1800</v>
      </c>
      <c r="I2" s="8"/>
    </row>
    <row r="3" ht="22.5" customHeight="1">
      <c r="A3" s="2" t="s">
        <v>12</v>
      </c>
      <c r="B3" s="3" t="s">
        <v>13</v>
      </c>
      <c r="C3" s="4">
        <v>8.0</v>
      </c>
      <c r="D3" s="5">
        <v>250.0</v>
      </c>
      <c r="E3" s="3" t="s">
        <v>14</v>
      </c>
      <c r="F3" s="6">
        <v>46026.0</v>
      </c>
      <c r="G3" s="7" t="s">
        <v>15</v>
      </c>
      <c r="H3" s="5">
        <f t="shared" si="1"/>
        <v>2000</v>
      </c>
      <c r="I3" s="8"/>
    </row>
    <row r="4" ht="22.5" customHeight="1">
      <c r="A4" s="2" t="s">
        <v>16</v>
      </c>
      <c r="B4" s="3" t="s">
        <v>17</v>
      </c>
      <c r="C4" s="4">
        <v>30.0</v>
      </c>
      <c r="D4" s="5">
        <v>40.0</v>
      </c>
      <c r="E4" s="3" t="s">
        <v>18</v>
      </c>
      <c r="F4" s="6">
        <v>46027.0</v>
      </c>
      <c r="G4" s="7" t="s">
        <v>19</v>
      </c>
      <c r="H4" s="5">
        <f t="shared" si="1"/>
        <v>1200</v>
      </c>
      <c r="I4" s="8"/>
    </row>
    <row r="5" ht="22.5" customHeight="1">
      <c r="A5" s="2" t="s">
        <v>20</v>
      </c>
      <c r="B5" s="3" t="s">
        <v>21</v>
      </c>
      <c r="C5" s="4">
        <v>25.0</v>
      </c>
      <c r="D5" s="5">
        <v>15.0</v>
      </c>
      <c r="E5" s="3" t="s">
        <v>22</v>
      </c>
      <c r="F5" s="6">
        <v>46028.0</v>
      </c>
      <c r="G5" s="7" t="s">
        <v>23</v>
      </c>
      <c r="H5" s="5">
        <f t="shared" si="1"/>
        <v>375</v>
      </c>
      <c r="I5" s="8"/>
    </row>
    <row r="6" ht="22.5" customHeight="1">
      <c r="A6" s="2" t="s">
        <v>24</v>
      </c>
      <c r="B6" s="3" t="s">
        <v>9</v>
      </c>
      <c r="C6" s="4">
        <v>12.0</v>
      </c>
      <c r="D6" s="5">
        <v>150.0</v>
      </c>
      <c r="E6" s="3" t="s">
        <v>25</v>
      </c>
      <c r="F6" s="6">
        <v>46029.0</v>
      </c>
      <c r="G6" s="7" t="s">
        <v>23</v>
      </c>
      <c r="H6" s="5">
        <f t="shared" si="1"/>
        <v>1800</v>
      </c>
      <c r="I6" s="8"/>
    </row>
    <row r="7" ht="22.5" customHeight="1">
      <c r="A7" s="2" t="s">
        <v>26</v>
      </c>
      <c r="B7" s="9" t="s">
        <v>13</v>
      </c>
      <c r="C7" s="4">
        <v>5.0</v>
      </c>
      <c r="D7" s="5">
        <v>300.0</v>
      </c>
      <c r="E7" s="3" t="s">
        <v>10</v>
      </c>
      <c r="F7" s="6">
        <v>46030.0</v>
      </c>
      <c r="G7" s="7" t="s">
        <v>11</v>
      </c>
      <c r="H7" s="5">
        <f t="shared" si="1"/>
        <v>1500</v>
      </c>
      <c r="I7" s="8"/>
    </row>
    <row r="8" ht="22.5" customHeight="1">
      <c r="A8" s="2" t="s">
        <v>27</v>
      </c>
      <c r="B8" s="9" t="s">
        <v>17</v>
      </c>
      <c r="C8" s="4">
        <v>45.0</v>
      </c>
      <c r="D8" s="5">
        <v>35.0</v>
      </c>
      <c r="E8" s="9" t="s">
        <v>14</v>
      </c>
      <c r="F8" s="6">
        <v>46031.0</v>
      </c>
      <c r="G8" s="7" t="s">
        <v>19</v>
      </c>
      <c r="H8" s="5">
        <f t="shared" si="1"/>
        <v>1575</v>
      </c>
      <c r="I8" s="8"/>
    </row>
    <row r="9" ht="22.5" customHeight="1">
      <c r="A9" s="2" t="s">
        <v>28</v>
      </c>
      <c r="B9" s="9" t="s">
        <v>21</v>
      </c>
      <c r="C9" s="4">
        <v>40.0</v>
      </c>
      <c r="D9" s="5">
        <v>20.0</v>
      </c>
      <c r="E9" s="9" t="s">
        <v>18</v>
      </c>
      <c r="F9" s="6">
        <v>46032.0</v>
      </c>
      <c r="G9" s="7" t="s">
        <v>15</v>
      </c>
      <c r="H9" s="5">
        <f t="shared" si="1"/>
        <v>800</v>
      </c>
      <c r="I9" s="8"/>
    </row>
    <row r="10" ht="22.5" customHeight="1">
      <c r="A10" s="2" t="s">
        <v>29</v>
      </c>
      <c r="B10" s="9" t="s">
        <v>9</v>
      </c>
      <c r="C10" s="4">
        <v>20.0</v>
      </c>
      <c r="D10" s="5">
        <v>110.0</v>
      </c>
      <c r="E10" s="9" t="s">
        <v>22</v>
      </c>
      <c r="F10" s="6">
        <v>46033.0</v>
      </c>
      <c r="G10" s="7" t="s">
        <v>23</v>
      </c>
      <c r="H10" s="5">
        <f t="shared" si="1"/>
        <v>2200</v>
      </c>
      <c r="I10" s="8"/>
    </row>
    <row r="11" ht="22.5" customHeight="1">
      <c r="A11" s="2" t="s">
        <v>30</v>
      </c>
      <c r="B11" s="9" t="s">
        <v>13</v>
      </c>
      <c r="C11" s="4">
        <v>10.0</v>
      </c>
      <c r="D11" s="5">
        <v>275.0</v>
      </c>
      <c r="E11" s="9" t="s">
        <v>25</v>
      </c>
      <c r="F11" s="6">
        <v>46034.0</v>
      </c>
      <c r="G11" s="7" t="s">
        <v>11</v>
      </c>
      <c r="H11" s="5">
        <f t="shared" si="1"/>
        <v>2750</v>
      </c>
      <c r="I11" s="8"/>
    </row>
    <row r="12" ht="22.5" customHeight="1">
      <c r="A12" s="2" t="s">
        <v>31</v>
      </c>
      <c r="B12" s="9" t="s">
        <v>17</v>
      </c>
      <c r="C12" s="4">
        <v>50.0</v>
      </c>
      <c r="D12" s="5">
        <v>30.0</v>
      </c>
      <c r="E12" s="9" t="s">
        <v>10</v>
      </c>
      <c r="F12" s="6">
        <v>46035.0</v>
      </c>
      <c r="G12" s="7" t="s">
        <v>11</v>
      </c>
      <c r="H12" s="5">
        <f t="shared" si="1"/>
        <v>1500</v>
      </c>
      <c r="I12" s="8"/>
    </row>
    <row r="13" ht="22.5" customHeight="1">
      <c r="A13" s="2" t="s">
        <v>32</v>
      </c>
      <c r="B13" s="9" t="s">
        <v>21</v>
      </c>
      <c r="C13" s="4">
        <v>35.0</v>
      </c>
      <c r="D13" s="5">
        <v>18.0</v>
      </c>
      <c r="E13" s="9" t="s">
        <v>14</v>
      </c>
      <c r="F13" s="6">
        <v>46036.0</v>
      </c>
      <c r="G13" s="7" t="s">
        <v>11</v>
      </c>
      <c r="H13" s="5">
        <f t="shared" si="1"/>
        <v>630</v>
      </c>
      <c r="I13" s="8"/>
    </row>
    <row r="14" ht="22.5" customHeight="1">
      <c r="A14" s="2" t="s">
        <v>33</v>
      </c>
      <c r="B14" s="9" t="s">
        <v>9</v>
      </c>
      <c r="C14" s="4">
        <v>18.0</v>
      </c>
      <c r="D14" s="5">
        <v>130.0</v>
      </c>
      <c r="E14" s="9" t="s">
        <v>18</v>
      </c>
      <c r="F14" s="6">
        <v>46037.0</v>
      </c>
      <c r="G14" s="7" t="s">
        <v>19</v>
      </c>
      <c r="H14" s="5">
        <f t="shared" si="1"/>
        <v>2340</v>
      </c>
      <c r="I14" s="8"/>
    </row>
    <row r="15" ht="22.5" customHeight="1">
      <c r="A15" s="2" t="s">
        <v>34</v>
      </c>
      <c r="B15" s="9" t="s">
        <v>13</v>
      </c>
      <c r="C15" s="4">
        <v>6.0</v>
      </c>
      <c r="D15" s="5">
        <v>320.0</v>
      </c>
      <c r="E15" s="9" t="s">
        <v>22</v>
      </c>
      <c r="F15" s="6">
        <v>46038.0</v>
      </c>
      <c r="G15" s="7" t="s">
        <v>15</v>
      </c>
      <c r="H15" s="5">
        <f t="shared" si="1"/>
        <v>1920</v>
      </c>
      <c r="I15" s="8"/>
    </row>
    <row r="16" ht="22.5" customHeight="1">
      <c r="A16" s="2" t="s">
        <v>35</v>
      </c>
      <c r="B16" s="9" t="s">
        <v>17</v>
      </c>
      <c r="C16" s="4">
        <v>28.0</v>
      </c>
      <c r="D16" s="5">
        <v>45.0</v>
      </c>
      <c r="E16" s="9" t="s">
        <v>25</v>
      </c>
      <c r="F16" s="6">
        <v>46039.0</v>
      </c>
      <c r="G16" s="7" t="s">
        <v>11</v>
      </c>
      <c r="H16" s="5">
        <f t="shared" si="1"/>
        <v>1260</v>
      </c>
      <c r="I16" s="8"/>
    </row>
    <row r="17" ht="22.5" customHeight="1">
      <c r="A17" s="2" t="s">
        <v>36</v>
      </c>
      <c r="B17" s="9" t="s">
        <v>21</v>
      </c>
      <c r="C17" s="4">
        <v>22.0</v>
      </c>
      <c r="D17" s="5">
        <v>22.0</v>
      </c>
      <c r="E17" s="9" t="s">
        <v>10</v>
      </c>
      <c r="F17" s="6">
        <v>46040.0</v>
      </c>
      <c r="G17" s="7" t="s">
        <v>23</v>
      </c>
      <c r="H17" s="5">
        <f t="shared" si="1"/>
        <v>484</v>
      </c>
      <c r="I17" s="8"/>
    </row>
    <row r="18" ht="22.5" customHeight="1">
      <c r="A18" s="2" t="s">
        <v>37</v>
      </c>
      <c r="B18" s="9" t="s">
        <v>9</v>
      </c>
      <c r="C18" s="4">
        <v>14.0</v>
      </c>
      <c r="D18" s="5">
        <v>140.0</v>
      </c>
      <c r="E18" s="9" t="s">
        <v>14</v>
      </c>
      <c r="F18" s="6">
        <v>46041.0</v>
      </c>
      <c r="G18" s="7" t="s">
        <v>15</v>
      </c>
      <c r="H18" s="5">
        <f t="shared" si="1"/>
        <v>1960</v>
      </c>
      <c r="I18" s="8"/>
    </row>
    <row r="19" ht="22.5" customHeight="1">
      <c r="A19" s="2" t="s">
        <v>38</v>
      </c>
      <c r="B19" s="9" t="s">
        <v>13</v>
      </c>
      <c r="C19" s="4">
        <v>9.0</v>
      </c>
      <c r="D19" s="5">
        <v>260.0</v>
      </c>
      <c r="E19" s="9" t="s">
        <v>18</v>
      </c>
      <c r="F19" s="6">
        <v>46042.0</v>
      </c>
      <c r="G19" s="7" t="s">
        <v>11</v>
      </c>
      <c r="H19" s="5">
        <f t="shared" si="1"/>
        <v>2340</v>
      </c>
      <c r="I19" s="8"/>
    </row>
    <row r="20" ht="22.5" customHeight="1">
      <c r="A20" s="2" t="s">
        <v>39</v>
      </c>
      <c r="B20" s="9" t="s">
        <v>17</v>
      </c>
      <c r="C20" s="4">
        <v>38.0</v>
      </c>
      <c r="D20" s="5">
        <v>38.0</v>
      </c>
      <c r="E20" s="9" t="s">
        <v>22</v>
      </c>
      <c r="F20" s="6">
        <v>46043.0</v>
      </c>
      <c r="G20" s="7" t="s">
        <v>23</v>
      </c>
      <c r="H20" s="5">
        <f t="shared" si="1"/>
        <v>1444</v>
      </c>
      <c r="I20" s="8"/>
    </row>
    <row r="21" ht="22.5" customHeight="1">
      <c r="A21" s="2" t="s">
        <v>40</v>
      </c>
      <c r="B21" s="9" t="s">
        <v>21</v>
      </c>
      <c r="C21" s="4">
        <v>30.0</v>
      </c>
      <c r="D21" s="5">
        <v>19.0</v>
      </c>
      <c r="E21" s="9" t="s">
        <v>25</v>
      </c>
      <c r="F21" s="6">
        <v>46044.0</v>
      </c>
      <c r="G21" s="7" t="s">
        <v>19</v>
      </c>
      <c r="H21" s="5">
        <f t="shared" si="1"/>
        <v>570</v>
      </c>
      <c r="I21" s="8"/>
    </row>
    <row r="22" ht="22.5" customHeight="1">
      <c r="A22" s="2" t="s">
        <v>41</v>
      </c>
      <c r="B22" s="9" t="s">
        <v>9</v>
      </c>
      <c r="C22" s="4">
        <v>16.0</v>
      </c>
      <c r="D22" s="5">
        <v>125.0</v>
      </c>
      <c r="E22" s="9" t="s">
        <v>10</v>
      </c>
      <c r="F22" s="6">
        <v>46045.0</v>
      </c>
      <c r="G22" s="7" t="s">
        <v>19</v>
      </c>
      <c r="H22" s="5">
        <f t="shared" si="1"/>
        <v>2000</v>
      </c>
      <c r="I22" s="8"/>
    </row>
    <row r="23" ht="22.5" customHeight="1">
      <c r="A23" s="2" t="s">
        <v>42</v>
      </c>
      <c r="B23" s="9" t="s">
        <v>13</v>
      </c>
      <c r="C23" s="4">
        <v>7.0</v>
      </c>
      <c r="D23" s="5">
        <v>310.0</v>
      </c>
      <c r="E23" s="9" t="s">
        <v>14</v>
      </c>
      <c r="F23" s="6">
        <v>46046.0</v>
      </c>
      <c r="G23" s="7" t="s">
        <v>15</v>
      </c>
      <c r="H23" s="5">
        <f t="shared" si="1"/>
        <v>2170</v>
      </c>
      <c r="I23" s="8"/>
    </row>
    <row r="24" ht="22.5" customHeight="1">
      <c r="A24" s="2" t="s">
        <v>43</v>
      </c>
      <c r="B24" s="9" t="s">
        <v>17</v>
      </c>
      <c r="C24" s="4">
        <v>42.0</v>
      </c>
      <c r="D24" s="5">
        <v>36.0</v>
      </c>
      <c r="E24" s="9" t="s">
        <v>18</v>
      </c>
      <c r="F24" s="6">
        <v>46047.0</v>
      </c>
      <c r="G24" s="7" t="s">
        <v>15</v>
      </c>
      <c r="H24" s="5">
        <f t="shared" si="1"/>
        <v>1512</v>
      </c>
      <c r="I24" s="8"/>
    </row>
    <row r="25" ht="22.5" customHeight="1">
      <c r="A25" s="2" t="s">
        <v>44</v>
      </c>
      <c r="B25" s="9" t="s">
        <v>21</v>
      </c>
      <c r="C25" s="4">
        <v>27.0</v>
      </c>
      <c r="D25" s="5">
        <v>17.0</v>
      </c>
      <c r="E25" s="9" t="s">
        <v>22</v>
      </c>
      <c r="F25" s="6">
        <v>46048.0</v>
      </c>
      <c r="G25" s="7" t="s">
        <v>11</v>
      </c>
      <c r="H25" s="5">
        <f t="shared" si="1"/>
        <v>459</v>
      </c>
      <c r="I25" s="8"/>
    </row>
    <row r="26" ht="22.5" customHeight="1">
      <c r="A26" s="2" t="s">
        <v>45</v>
      </c>
      <c r="B26" s="9" t="s">
        <v>9</v>
      </c>
      <c r="C26" s="4">
        <v>19.0</v>
      </c>
      <c r="D26" s="5">
        <v>135.0</v>
      </c>
      <c r="E26" s="9" t="s">
        <v>25</v>
      </c>
      <c r="F26" s="6">
        <v>46049.0</v>
      </c>
      <c r="G26" s="7" t="s">
        <v>11</v>
      </c>
      <c r="H26" s="5">
        <f t="shared" si="1"/>
        <v>2565</v>
      </c>
      <c r="I26" s="8"/>
    </row>
    <row r="27" ht="22.5" customHeight="1">
      <c r="A27" s="2" t="s">
        <v>46</v>
      </c>
      <c r="B27" s="9" t="s">
        <v>13</v>
      </c>
      <c r="C27" s="4">
        <v>11.0</v>
      </c>
      <c r="D27" s="5">
        <v>290.0</v>
      </c>
      <c r="E27" s="9" t="s">
        <v>10</v>
      </c>
      <c r="F27" s="6">
        <v>46050.0</v>
      </c>
      <c r="G27" s="7" t="s">
        <v>15</v>
      </c>
      <c r="H27" s="5">
        <f t="shared" si="1"/>
        <v>3190</v>
      </c>
      <c r="I27" s="8"/>
    </row>
    <row r="28" ht="22.5" customHeight="1">
      <c r="A28" s="2" t="s">
        <v>47</v>
      </c>
      <c r="B28" s="9" t="s">
        <v>17</v>
      </c>
      <c r="C28" s="4">
        <v>33.0</v>
      </c>
      <c r="D28" s="5">
        <v>37.0</v>
      </c>
      <c r="E28" s="9" t="s">
        <v>14</v>
      </c>
      <c r="F28" s="6">
        <v>46051.0</v>
      </c>
      <c r="G28" s="7" t="s">
        <v>23</v>
      </c>
      <c r="H28" s="5">
        <f t="shared" si="1"/>
        <v>1221</v>
      </c>
      <c r="I28" s="8"/>
    </row>
    <row r="29" ht="22.5" customHeight="1">
      <c r="A29" s="2" t="s">
        <v>48</v>
      </c>
      <c r="B29" s="9" t="s">
        <v>21</v>
      </c>
      <c r="C29" s="4">
        <v>29.0</v>
      </c>
      <c r="D29" s="5">
        <v>21.0</v>
      </c>
      <c r="E29" s="9" t="s">
        <v>18</v>
      </c>
      <c r="F29" s="6">
        <v>46052.0</v>
      </c>
      <c r="G29" s="7" t="s">
        <v>11</v>
      </c>
      <c r="H29" s="5">
        <f t="shared" si="1"/>
        <v>609</v>
      </c>
      <c r="I29" s="8"/>
    </row>
    <row r="30" ht="22.5" customHeight="1">
      <c r="A30" s="2" t="s">
        <v>49</v>
      </c>
      <c r="B30" s="9" t="s">
        <v>9</v>
      </c>
      <c r="C30" s="4">
        <v>21.0</v>
      </c>
      <c r="D30" s="5">
        <v>115.0</v>
      </c>
      <c r="E30" s="9" t="s">
        <v>22</v>
      </c>
      <c r="F30" s="6">
        <v>46054.0</v>
      </c>
      <c r="G30" s="7" t="s">
        <v>23</v>
      </c>
      <c r="H30" s="5">
        <f t="shared" si="1"/>
        <v>2415</v>
      </c>
      <c r="I30" s="8"/>
    </row>
    <row r="31" ht="22.5" customHeight="1">
      <c r="A31" s="2" t="s">
        <v>50</v>
      </c>
      <c r="B31" s="9" t="s">
        <v>13</v>
      </c>
      <c r="C31" s="4">
        <v>4.0</v>
      </c>
      <c r="D31" s="5">
        <v>350.0</v>
      </c>
      <c r="E31" s="9" t="s">
        <v>25</v>
      </c>
      <c r="F31" s="6">
        <v>46055.0</v>
      </c>
      <c r="G31" s="7" t="s">
        <v>23</v>
      </c>
      <c r="H31" s="5">
        <f t="shared" si="1"/>
        <v>1400</v>
      </c>
      <c r="I31" s="8"/>
    </row>
    <row r="32" ht="22.5" customHeight="1">
      <c r="A32" s="2" t="s">
        <v>51</v>
      </c>
      <c r="B32" s="9" t="s">
        <v>17</v>
      </c>
      <c r="C32" s="4">
        <v>37.0</v>
      </c>
      <c r="D32" s="5">
        <v>39.0</v>
      </c>
      <c r="E32" s="9" t="s">
        <v>10</v>
      </c>
      <c r="F32" s="6">
        <v>46056.0</v>
      </c>
      <c r="G32" s="7" t="s">
        <v>23</v>
      </c>
      <c r="H32" s="5">
        <f t="shared" si="1"/>
        <v>1443</v>
      </c>
      <c r="I32" s="8"/>
    </row>
    <row r="33" ht="22.5" customHeight="1">
      <c r="A33" s="2" t="s">
        <v>52</v>
      </c>
      <c r="B33" s="9" t="s">
        <v>21</v>
      </c>
      <c r="C33" s="4">
        <v>26.0</v>
      </c>
      <c r="D33" s="5">
        <v>23.0</v>
      </c>
      <c r="E33" s="9" t="s">
        <v>14</v>
      </c>
      <c r="F33" s="6">
        <v>46057.0</v>
      </c>
      <c r="G33" s="7" t="s">
        <v>15</v>
      </c>
      <c r="H33" s="5">
        <f t="shared" si="1"/>
        <v>598</v>
      </c>
      <c r="I33" s="8"/>
    </row>
    <row r="34" ht="22.5" customHeight="1">
      <c r="A34" s="2" t="s">
        <v>53</v>
      </c>
      <c r="B34" s="9" t="s">
        <v>9</v>
      </c>
      <c r="C34" s="4">
        <v>13.0</v>
      </c>
      <c r="D34" s="5">
        <v>145.0</v>
      </c>
      <c r="E34" s="9" t="s">
        <v>18</v>
      </c>
      <c r="F34" s="6">
        <v>46058.0</v>
      </c>
      <c r="G34" s="7" t="s">
        <v>11</v>
      </c>
      <c r="H34" s="5">
        <f t="shared" si="1"/>
        <v>1885</v>
      </c>
      <c r="I34" s="8"/>
    </row>
    <row r="35" ht="22.5" customHeight="1">
      <c r="A35" s="2" t="s">
        <v>54</v>
      </c>
      <c r="B35" s="9" t="s">
        <v>13</v>
      </c>
      <c r="C35" s="4">
        <v>8.0</v>
      </c>
      <c r="D35" s="5">
        <v>330.0</v>
      </c>
      <c r="E35" s="9" t="s">
        <v>22</v>
      </c>
      <c r="F35" s="6">
        <v>46059.0</v>
      </c>
      <c r="G35" s="7" t="s">
        <v>11</v>
      </c>
      <c r="H35" s="5">
        <f t="shared" si="1"/>
        <v>2640</v>
      </c>
      <c r="I35" s="8"/>
    </row>
    <row r="36" ht="22.5" customHeight="1">
      <c r="A36" s="2" t="s">
        <v>55</v>
      </c>
      <c r="B36" s="9" t="s">
        <v>17</v>
      </c>
      <c r="C36" s="4">
        <v>48.0</v>
      </c>
      <c r="D36" s="5">
        <v>32.0</v>
      </c>
      <c r="E36" s="9" t="s">
        <v>25</v>
      </c>
      <c r="F36" s="6">
        <v>46060.0</v>
      </c>
      <c r="G36" s="7" t="s">
        <v>23</v>
      </c>
      <c r="H36" s="5">
        <f t="shared" si="1"/>
        <v>1536</v>
      </c>
      <c r="I36" s="8"/>
    </row>
    <row r="37" ht="22.5" customHeight="1">
      <c r="A37" s="2" t="s">
        <v>56</v>
      </c>
      <c r="B37" s="9" t="s">
        <v>21</v>
      </c>
      <c r="C37" s="4">
        <v>34.0</v>
      </c>
      <c r="D37" s="5">
        <v>16.0</v>
      </c>
      <c r="E37" s="9" t="s">
        <v>10</v>
      </c>
      <c r="F37" s="6">
        <v>46061.0</v>
      </c>
      <c r="G37" s="7" t="s">
        <v>15</v>
      </c>
      <c r="H37" s="5">
        <f t="shared" si="1"/>
        <v>544</v>
      </c>
      <c r="I37" s="8"/>
    </row>
    <row r="38" ht="22.5" customHeight="1">
      <c r="A38" s="2" t="s">
        <v>57</v>
      </c>
      <c r="B38" s="9" t="s">
        <v>9</v>
      </c>
      <c r="C38" s="4">
        <v>17.0</v>
      </c>
      <c r="D38" s="5">
        <v>155.0</v>
      </c>
      <c r="E38" s="9" t="s">
        <v>14</v>
      </c>
      <c r="F38" s="6">
        <v>46062.0</v>
      </c>
      <c r="G38" s="7" t="s">
        <v>19</v>
      </c>
      <c r="H38" s="5">
        <f t="shared" si="1"/>
        <v>2635</v>
      </c>
      <c r="I38" s="8"/>
    </row>
    <row r="39" ht="22.5" customHeight="1">
      <c r="A39" s="2" t="s">
        <v>58</v>
      </c>
      <c r="B39" s="9" t="s">
        <v>13</v>
      </c>
      <c r="C39" s="4">
        <v>12.0</v>
      </c>
      <c r="D39" s="5">
        <v>280.0</v>
      </c>
      <c r="E39" s="9" t="s">
        <v>18</v>
      </c>
      <c r="F39" s="6">
        <v>46063.0</v>
      </c>
      <c r="G39" s="7" t="s">
        <v>11</v>
      </c>
      <c r="H39" s="5">
        <f t="shared" si="1"/>
        <v>3360</v>
      </c>
      <c r="I39" s="8"/>
    </row>
    <row r="40" ht="22.5" customHeight="1">
      <c r="A40" s="2" t="s">
        <v>59</v>
      </c>
      <c r="B40" s="9" t="s">
        <v>17</v>
      </c>
      <c r="C40" s="4">
        <v>29.0</v>
      </c>
      <c r="D40" s="5">
        <v>41.0</v>
      </c>
      <c r="E40" s="9" t="s">
        <v>22</v>
      </c>
      <c r="F40" s="6">
        <v>46064.0</v>
      </c>
      <c r="G40" s="7" t="s">
        <v>19</v>
      </c>
      <c r="H40" s="5">
        <f t="shared" si="1"/>
        <v>1189</v>
      </c>
      <c r="I40" s="8"/>
    </row>
    <row r="41" ht="22.5" customHeight="1">
      <c r="A41" s="2" t="s">
        <v>60</v>
      </c>
      <c r="B41" s="9" t="s">
        <v>21</v>
      </c>
      <c r="C41" s="4">
        <v>31.0</v>
      </c>
      <c r="D41" s="5">
        <v>24.0</v>
      </c>
      <c r="E41" s="9" t="s">
        <v>25</v>
      </c>
      <c r="F41" s="6">
        <v>46065.0</v>
      </c>
      <c r="G41" s="7" t="s">
        <v>11</v>
      </c>
      <c r="H41" s="5">
        <f t="shared" si="1"/>
        <v>744</v>
      </c>
      <c r="I41" s="8"/>
    </row>
    <row r="42" ht="22.5" customHeight="1">
      <c r="A42" s="2" t="s">
        <v>61</v>
      </c>
      <c r="B42" s="9" t="s">
        <v>9</v>
      </c>
      <c r="C42" s="4">
        <v>22.0</v>
      </c>
      <c r="D42" s="5">
        <v>118.0</v>
      </c>
      <c r="E42" s="9" t="s">
        <v>10</v>
      </c>
      <c r="F42" s="6">
        <v>46066.0</v>
      </c>
      <c r="G42" s="7" t="s">
        <v>23</v>
      </c>
      <c r="H42" s="5">
        <f t="shared" si="1"/>
        <v>2596</v>
      </c>
      <c r="I42" s="8"/>
    </row>
    <row r="43" ht="22.5" customHeight="1">
      <c r="A43" s="2" t="s">
        <v>62</v>
      </c>
      <c r="B43" s="9" t="s">
        <v>13</v>
      </c>
      <c r="C43" s="4">
        <v>6.0</v>
      </c>
      <c r="D43" s="5">
        <v>340.0</v>
      </c>
      <c r="E43" s="9" t="s">
        <v>14</v>
      </c>
      <c r="F43" s="6">
        <v>46067.0</v>
      </c>
      <c r="G43" s="7" t="s">
        <v>23</v>
      </c>
      <c r="H43" s="5">
        <f t="shared" si="1"/>
        <v>2040</v>
      </c>
      <c r="I43" s="8"/>
    </row>
    <row r="44" ht="22.5" customHeight="1">
      <c r="A44" s="2" t="s">
        <v>63</v>
      </c>
      <c r="B44" s="9" t="s">
        <v>17</v>
      </c>
      <c r="C44" s="4">
        <v>36.0</v>
      </c>
      <c r="D44" s="5">
        <v>34.0</v>
      </c>
      <c r="E44" s="9" t="s">
        <v>18</v>
      </c>
      <c r="F44" s="6">
        <v>46068.0</v>
      </c>
      <c r="G44" s="7" t="s">
        <v>23</v>
      </c>
      <c r="H44" s="5">
        <f t="shared" si="1"/>
        <v>1224</v>
      </c>
      <c r="I44" s="8"/>
    </row>
    <row r="45" ht="22.5" customHeight="1">
      <c r="A45" s="2" t="s">
        <v>64</v>
      </c>
      <c r="B45" s="9" t="s">
        <v>21</v>
      </c>
      <c r="C45" s="4">
        <v>28.0</v>
      </c>
      <c r="D45" s="5">
        <v>20.0</v>
      </c>
      <c r="E45" s="9" t="s">
        <v>22</v>
      </c>
      <c r="F45" s="6">
        <v>46069.0</v>
      </c>
      <c r="G45" s="7" t="s">
        <v>11</v>
      </c>
      <c r="H45" s="5">
        <f t="shared" si="1"/>
        <v>560</v>
      </c>
      <c r="I45" s="8"/>
    </row>
    <row r="46" ht="22.5" customHeight="1">
      <c r="A46" s="2" t="s">
        <v>65</v>
      </c>
      <c r="B46" s="9" t="s">
        <v>9</v>
      </c>
      <c r="C46" s="4">
        <v>24.0</v>
      </c>
      <c r="D46" s="5">
        <v>128.0</v>
      </c>
      <c r="E46" s="9" t="s">
        <v>25</v>
      </c>
      <c r="F46" s="6">
        <v>46070.0</v>
      </c>
      <c r="G46" s="7" t="s">
        <v>19</v>
      </c>
      <c r="H46" s="5">
        <f t="shared" si="1"/>
        <v>3072</v>
      </c>
      <c r="I46" s="8"/>
    </row>
    <row r="47" ht="22.5" customHeight="1">
      <c r="A47" s="2" t="s">
        <v>66</v>
      </c>
      <c r="B47" s="9" t="s">
        <v>13</v>
      </c>
      <c r="C47" s="4">
        <v>9.0</v>
      </c>
      <c r="D47" s="5">
        <v>295.0</v>
      </c>
      <c r="E47" s="9" t="s">
        <v>10</v>
      </c>
      <c r="F47" s="6">
        <v>46071.0</v>
      </c>
      <c r="G47" s="7" t="s">
        <v>19</v>
      </c>
      <c r="H47" s="5">
        <f t="shared" si="1"/>
        <v>2655</v>
      </c>
      <c r="I47" s="8"/>
    </row>
    <row r="48" ht="22.5" customHeight="1">
      <c r="A48" s="2" t="s">
        <v>67</v>
      </c>
      <c r="B48" s="9" t="s">
        <v>17</v>
      </c>
      <c r="C48" s="4">
        <v>31.0</v>
      </c>
      <c r="D48" s="5">
        <v>42.0</v>
      </c>
      <c r="E48" s="9" t="s">
        <v>14</v>
      </c>
      <c r="F48" s="6">
        <v>46072.0</v>
      </c>
      <c r="G48" s="7" t="s">
        <v>23</v>
      </c>
      <c r="H48" s="5">
        <f t="shared" si="1"/>
        <v>1302</v>
      </c>
      <c r="I48" s="8"/>
    </row>
    <row r="49" ht="22.5" customHeight="1">
      <c r="A49" s="2" t="s">
        <v>68</v>
      </c>
      <c r="B49" s="9" t="s">
        <v>21</v>
      </c>
      <c r="C49" s="4">
        <v>33.0</v>
      </c>
      <c r="D49" s="5">
        <v>18.0</v>
      </c>
      <c r="E49" s="9" t="s">
        <v>18</v>
      </c>
      <c r="F49" s="6">
        <v>46073.0</v>
      </c>
      <c r="G49" s="7" t="s">
        <v>23</v>
      </c>
      <c r="H49" s="5">
        <f t="shared" si="1"/>
        <v>594</v>
      </c>
      <c r="I49" s="8"/>
    </row>
    <row r="50" ht="22.5" customHeight="1">
      <c r="A50" s="2" t="s">
        <v>69</v>
      </c>
      <c r="B50" s="9" t="s">
        <v>9</v>
      </c>
      <c r="C50" s="4">
        <v>11.0</v>
      </c>
      <c r="D50" s="5">
        <v>160.0</v>
      </c>
      <c r="E50" s="9" t="s">
        <v>22</v>
      </c>
      <c r="F50" s="6">
        <v>46074.0</v>
      </c>
      <c r="G50" s="7" t="s">
        <v>11</v>
      </c>
      <c r="H50" s="5">
        <f t="shared" si="1"/>
        <v>1760</v>
      </c>
      <c r="I50" s="8"/>
    </row>
    <row r="51" ht="22.5" customHeight="1">
      <c r="A51" s="2" t="s">
        <v>70</v>
      </c>
      <c r="B51" s="9" t="s">
        <v>13</v>
      </c>
      <c r="C51" s="4">
        <v>10.0</v>
      </c>
      <c r="D51" s="5">
        <v>305.0</v>
      </c>
      <c r="E51" s="9" t="s">
        <v>25</v>
      </c>
      <c r="F51" s="6">
        <v>46075.0</v>
      </c>
      <c r="G51" s="7" t="s">
        <v>15</v>
      </c>
      <c r="H51" s="5">
        <f t="shared" si="1"/>
        <v>3050</v>
      </c>
      <c r="I51" s="8"/>
    </row>
    <row r="52" ht="22.5" customHeight="1">
      <c r="A52" s="2" t="s">
        <v>71</v>
      </c>
      <c r="B52" s="9" t="s">
        <v>17</v>
      </c>
      <c r="C52" s="4">
        <v>44.0</v>
      </c>
      <c r="D52" s="5">
        <v>33.0</v>
      </c>
      <c r="E52" s="9" t="s">
        <v>10</v>
      </c>
      <c r="F52" s="6">
        <v>46076.0</v>
      </c>
      <c r="G52" s="7" t="s">
        <v>19</v>
      </c>
      <c r="H52" s="5">
        <f t="shared" si="1"/>
        <v>1452</v>
      </c>
      <c r="I52" s="8"/>
    </row>
    <row r="53" ht="22.5" customHeight="1">
      <c r="A53" s="2" t="s">
        <v>72</v>
      </c>
      <c r="B53" s="9" t="s">
        <v>21</v>
      </c>
      <c r="C53" s="4">
        <v>36.0</v>
      </c>
      <c r="D53" s="5">
        <v>19.0</v>
      </c>
      <c r="E53" s="9" t="s">
        <v>14</v>
      </c>
      <c r="F53" s="6">
        <v>46077.0</v>
      </c>
      <c r="G53" s="7" t="s">
        <v>19</v>
      </c>
      <c r="H53" s="5">
        <f t="shared" si="1"/>
        <v>684</v>
      </c>
      <c r="I53" s="8"/>
    </row>
    <row r="54" ht="22.5" customHeight="1">
      <c r="A54" s="2" t="s">
        <v>73</v>
      </c>
      <c r="B54" s="9" t="s">
        <v>9</v>
      </c>
      <c r="C54" s="4">
        <v>23.0</v>
      </c>
      <c r="D54" s="5">
        <v>132.0</v>
      </c>
      <c r="E54" s="9" t="s">
        <v>18</v>
      </c>
      <c r="F54" s="6">
        <v>46078.0</v>
      </c>
      <c r="G54" s="7" t="s">
        <v>15</v>
      </c>
      <c r="H54" s="5">
        <f t="shared" si="1"/>
        <v>3036</v>
      </c>
      <c r="I54" s="8"/>
    </row>
    <row r="55" ht="22.5" customHeight="1">
      <c r="A55" s="2" t="s">
        <v>74</v>
      </c>
      <c r="B55" s="9" t="s">
        <v>13</v>
      </c>
      <c r="C55" s="4">
        <v>7.0</v>
      </c>
      <c r="D55" s="5">
        <v>315.0</v>
      </c>
      <c r="E55" s="9" t="s">
        <v>22</v>
      </c>
      <c r="F55" s="6">
        <v>46079.0</v>
      </c>
      <c r="G55" s="7" t="s">
        <v>19</v>
      </c>
      <c r="H55" s="5">
        <f t="shared" si="1"/>
        <v>2205</v>
      </c>
      <c r="I55" s="8"/>
    </row>
    <row r="56" ht="22.5" customHeight="1">
      <c r="A56" s="2" t="s">
        <v>75</v>
      </c>
      <c r="B56" s="9" t="s">
        <v>17</v>
      </c>
      <c r="C56" s="4">
        <v>39.0</v>
      </c>
      <c r="D56" s="5">
        <v>37.0</v>
      </c>
      <c r="E56" s="9" t="s">
        <v>25</v>
      </c>
      <c r="F56" s="6">
        <v>46080.0</v>
      </c>
      <c r="G56" s="7" t="s">
        <v>15</v>
      </c>
      <c r="H56" s="5">
        <f t="shared" si="1"/>
        <v>1443</v>
      </c>
      <c r="I56" s="8"/>
    </row>
    <row r="57" ht="22.5" customHeight="1">
      <c r="A57" s="2" t="s">
        <v>76</v>
      </c>
      <c r="B57" s="9" t="s">
        <v>21</v>
      </c>
      <c r="C57" s="4">
        <v>24.0</v>
      </c>
      <c r="D57" s="5">
        <v>22.0</v>
      </c>
      <c r="E57" s="9" t="s">
        <v>10</v>
      </c>
      <c r="F57" s="6">
        <v>46081.0</v>
      </c>
      <c r="G57" s="7" t="s">
        <v>11</v>
      </c>
      <c r="H57" s="5">
        <f t="shared" si="1"/>
        <v>528</v>
      </c>
      <c r="I57" s="8"/>
    </row>
    <row r="58" ht="22.5" customHeight="1">
      <c r="A58" s="2" t="s">
        <v>77</v>
      </c>
      <c r="B58" s="9" t="s">
        <v>9</v>
      </c>
      <c r="C58" s="4">
        <v>18.0</v>
      </c>
      <c r="D58" s="5">
        <v>142.0</v>
      </c>
      <c r="E58" s="9" t="s">
        <v>14</v>
      </c>
      <c r="F58" s="6">
        <v>46082.0</v>
      </c>
      <c r="G58" s="7" t="s">
        <v>19</v>
      </c>
      <c r="H58" s="5">
        <f t="shared" si="1"/>
        <v>2556</v>
      </c>
      <c r="I58" s="8"/>
    </row>
    <row r="59" ht="22.5" customHeight="1">
      <c r="A59" s="2" t="s">
        <v>78</v>
      </c>
      <c r="B59" s="9" t="s">
        <v>13</v>
      </c>
      <c r="C59" s="4">
        <v>5.0</v>
      </c>
      <c r="D59" s="5">
        <v>360.0</v>
      </c>
      <c r="E59" s="9" t="s">
        <v>18</v>
      </c>
      <c r="F59" s="6">
        <v>46083.0</v>
      </c>
      <c r="G59" s="7" t="s">
        <v>19</v>
      </c>
      <c r="H59" s="5">
        <f t="shared" si="1"/>
        <v>1800</v>
      </c>
      <c r="I59" s="8"/>
    </row>
    <row r="60" ht="22.5" customHeight="1">
      <c r="A60" s="2" t="s">
        <v>79</v>
      </c>
      <c r="B60" s="9" t="s">
        <v>17</v>
      </c>
      <c r="C60" s="4">
        <v>46.0</v>
      </c>
      <c r="D60" s="5">
        <v>31.0</v>
      </c>
      <c r="E60" s="9" t="s">
        <v>22</v>
      </c>
      <c r="F60" s="6">
        <v>46084.0</v>
      </c>
      <c r="G60" s="7" t="s">
        <v>23</v>
      </c>
      <c r="H60" s="5">
        <f t="shared" si="1"/>
        <v>1426</v>
      </c>
      <c r="I60" s="8"/>
    </row>
    <row r="61" ht="22.5" customHeight="1">
      <c r="A61" s="2" t="s">
        <v>80</v>
      </c>
      <c r="B61" s="9" t="s">
        <v>21</v>
      </c>
      <c r="C61" s="4">
        <v>32.0</v>
      </c>
      <c r="D61" s="5">
        <v>25.0</v>
      </c>
      <c r="E61" s="9" t="s">
        <v>25</v>
      </c>
      <c r="F61" s="6">
        <v>46085.0</v>
      </c>
      <c r="G61" s="7" t="s">
        <v>15</v>
      </c>
      <c r="H61" s="5">
        <f t="shared" si="1"/>
        <v>800</v>
      </c>
      <c r="I61" s="8"/>
    </row>
  </sheetData>
  <customSheetViews>
    <customSheetView guid="{FC6568B1-7142-4499-8FAB-4861E7EA9F38}" filter="1" showAutoFilter="1">
      <autoFilter ref="$A$1:$H$61"/>
    </customSheetView>
  </customSheetViews>
  <dataValidations>
    <dataValidation type="custom" allowBlank="1" showDropDown="1" sqref="C2:D61 H2:H61">
      <formula1>AND(ISNUMBER(C2),(NOT(OR(NOT(ISERROR(DATEVALUE(C2))), AND(ISNUMBER(C2), LEFT(CELL("format", C2))="D")))))</formula1>
    </dataValidation>
    <dataValidation type="custom" allowBlank="1" showDropDown="1" sqref="F2:F61">
      <formula1>OR(NOT(ISERROR(DATEVALUE(F2))), AND(ISNUMBER(F2), LEFT(CELL("format", F2))="D"))</formula1>
    </dataValidation>
    <dataValidation allowBlank="1" showDropDown="1" sqref="A2:A61"/>
    <dataValidation type="list" allowBlank="1" sqref="G2:G61">
      <formula1>"North,South,East,West"</formula1>
    </dataValidation>
    <dataValidation type="list" allowBlank="1" sqref="B2:B61">
      <formula1>"Software,Hardware,Subscription,Accessories"</formula1>
    </dataValidation>
    <dataValidation type="list" allowBlank="1" sqref="E2:E61">
      <formula1>"Ana Cruz,John Lee,Maria Santos,David Kim,Luis Garcia"</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5.63"/>
    <col customWidth="1" min="3" max="3" width="21.75"/>
  </cols>
  <sheetData>
    <row r="1">
      <c r="A1" s="10" t="s">
        <v>81</v>
      </c>
      <c r="B1" s="10" t="s">
        <v>82</v>
      </c>
      <c r="C1" s="10" t="s">
        <v>83</v>
      </c>
    </row>
    <row r="2">
      <c r="A2" s="11" t="s">
        <v>84</v>
      </c>
      <c r="B2" s="12" t="s">
        <v>85</v>
      </c>
      <c r="C2" s="13">
        <v>120.0</v>
      </c>
    </row>
    <row r="3">
      <c r="A3" s="14"/>
      <c r="B3" s="12" t="s">
        <v>86</v>
      </c>
      <c r="C3" s="13">
        <v>250.0</v>
      </c>
    </row>
    <row r="4">
      <c r="A4" s="14"/>
      <c r="B4" s="12" t="s">
        <v>87</v>
      </c>
      <c r="C4" s="13">
        <v>150.0</v>
      </c>
    </row>
    <row r="5">
      <c r="A5" s="14"/>
      <c r="B5" s="12" t="s">
        <v>88</v>
      </c>
      <c r="C5" s="13">
        <v>290.0</v>
      </c>
    </row>
    <row r="6">
      <c r="A6" s="15"/>
      <c r="B6" s="12" t="s">
        <v>89</v>
      </c>
      <c r="C6" s="13">
        <v>275.0</v>
      </c>
    </row>
    <row r="7">
      <c r="A7" s="16" t="s">
        <v>90</v>
      </c>
      <c r="B7" s="12" t="s">
        <v>91</v>
      </c>
      <c r="C7" s="13">
        <v>110.0</v>
      </c>
    </row>
    <row r="8">
      <c r="A8" s="17"/>
      <c r="B8" s="12" t="s">
        <v>92</v>
      </c>
      <c r="C8" s="13">
        <v>130.0</v>
      </c>
    </row>
    <row r="9">
      <c r="A9" s="17"/>
      <c r="B9" s="12" t="s">
        <v>93</v>
      </c>
      <c r="C9" s="13">
        <v>260.0</v>
      </c>
    </row>
    <row r="10">
      <c r="A10" s="17"/>
      <c r="B10" s="12" t="s">
        <v>94</v>
      </c>
      <c r="C10" s="13">
        <v>320.0</v>
      </c>
    </row>
    <row r="11">
      <c r="A11" s="18"/>
      <c r="B11" s="12" t="s">
        <v>95</v>
      </c>
      <c r="C11" s="13">
        <v>310.0</v>
      </c>
    </row>
    <row r="12">
      <c r="A12" s="19" t="s">
        <v>96</v>
      </c>
      <c r="B12" s="12" t="s">
        <v>97</v>
      </c>
      <c r="C12" s="13">
        <v>40.0</v>
      </c>
    </row>
    <row r="13">
      <c r="A13" s="17"/>
      <c r="B13" s="12" t="s">
        <v>98</v>
      </c>
      <c r="C13" s="13">
        <v>35.0</v>
      </c>
    </row>
    <row r="14">
      <c r="A14" s="17"/>
      <c r="B14" s="12" t="s">
        <v>99</v>
      </c>
      <c r="C14" s="13">
        <v>30.0</v>
      </c>
    </row>
    <row r="15">
      <c r="A15" s="17"/>
      <c r="B15" s="12" t="s">
        <v>100</v>
      </c>
      <c r="C15" s="13">
        <v>37.0</v>
      </c>
    </row>
    <row r="16">
      <c r="A16" s="18"/>
      <c r="B16" s="12" t="s">
        <v>101</v>
      </c>
      <c r="C16" s="13">
        <v>33.0</v>
      </c>
    </row>
    <row r="17">
      <c r="A17" s="20" t="s">
        <v>102</v>
      </c>
      <c r="B17" s="12" t="s">
        <v>103</v>
      </c>
      <c r="C17" s="13">
        <v>20.0</v>
      </c>
    </row>
    <row r="18">
      <c r="A18" s="17"/>
      <c r="B18" s="12" t="s">
        <v>104</v>
      </c>
      <c r="C18" s="13">
        <v>18.0</v>
      </c>
    </row>
    <row r="19">
      <c r="A19" s="17"/>
      <c r="B19" s="12" t="s">
        <v>105</v>
      </c>
      <c r="C19" s="13">
        <v>22.0</v>
      </c>
    </row>
    <row r="20">
      <c r="A20" s="17"/>
      <c r="B20" s="12" t="s">
        <v>106</v>
      </c>
      <c r="C20" s="13">
        <v>19.0</v>
      </c>
    </row>
    <row r="21">
      <c r="A21" s="18"/>
      <c r="B21" s="12" t="s">
        <v>107</v>
      </c>
      <c r="C21" s="13">
        <v>24.0</v>
      </c>
    </row>
  </sheetData>
  <mergeCells count="4">
    <mergeCell ref="A2:A6"/>
    <mergeCell ref="A7:A11"/>
    <mergeCell ref="A12:A16"/>
    <mergeCell ref="A17:A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21.0"/>
    <col customWidth="1" min="3" max="3" width="20.75"/>
    <col customWidth="1" min="4" max="4" width="23.88"/>
    <col customWidth="1" min="5" max="5" width="18.75"/>
    <col customWidth="1" min="6" max="6" width="21.75"/>
    <col customWidth="1" min="7" max="7" width="27.38"/>
    <col customWidth="1" min="8" max="8" width="27.75"/>
    <col customWidth="1" min="9" max="9" width="27.25"/>
    <col customWidth="1" min="10" max="10" width="23.63"/>
    <col customWidth="1" min="11" max="11" width="21.5"/>
  </cols>
  <sheetData>
    <row r="1" ht="22.5" customHeight="1">
      <c r="A1" s="21" t="s">
        <v>108</v>
      </c>
      <c r="B1" s="21" t="s">
        <v>109</v>
      </c>
      <c r="C1" s="21" t="s">
        <v>110</v>
      </c>
      <c r="D1" s="21" t="s">
        <v>111</v>
      </c>
      <c r="E1" s="21" t="s">
        <v>112</v>
      </c>
      <c r="F1" s="22" t="s">
        <v>113</v>
      </c>
      <c r="G1" s="22" t="s">
        <v>114</v>
      </c>
      <c r="H1" s="22" t="s">
        <v>115</v>
      </c>
      <c r="I1" s="22" t="s">
        <v>116</v>
      </c>
      <c r="J1" s="22" t="s">
        <v>117</v>
      </c>
      <c r="K1" s="22" t="s">
        <v>118</v>
      </c>
    </row>
    <row r="2" ht="22.5" customHeight="1">
      <c r="A2" s="23">
        <f>SUM(Sales_Data!H2:H31)</f>
        <v>47989</v>
      </c>
      <c r="B2" s="24">
        <f>AVERAGE(Sales_Data!H2:H31)</f>
        <v>1599.633333</v>
      </c>
      <c r="C2" s="25" t="str">
        <f>IF(Sales_Data!C2&gt;0,"Active","Inactive")</f>
        <v>Active</v>
      </c>
      <c r="D2" s="25">
        <f>COUNTIF(Sales_Data!G2:G31,"North")</f>
        <v>8</v>
      </c>
      <c r="E2" s="26" t="s">
        <v>23</v>
      </c>
      <c r="F2" s="27" t="str">
        <f>IF(Sales_Data!H2&gt;=2000,"High",IF(Sales_Data!H2&gt;=1000,"Medium",IF(Sales_Data!H2&gt;0,"Low","No Sale")))</f>
        <v>Medium</v>
      </c>
      <c r="G2" s="27">
        <f>SUMIF(Sales_Data!$E$2:$E$31,Sales_Data!E2,Sales_Data!$H$2:$H$31)</f>
        <v>10474</v>
      </c>
      <c r="H2" s="28" t="str">
        <f>Sales_Data!E2</f>
        <v>Ana Cruz</v>
      </c>
      <c r="I2" s="29" t="s">
        <v>79</v>
      </c>
      <c r="J2" s="27" t="str">
        <f>VLOOKUP($I$2,Sales_Data!$A$2:$H$61,2,FALSE)</f>
        <v>Subscription</v>
      </c>
      <c r="K2" s="30">
        <f>VLOOKUP($I$2,Sales_Data!$A$2:$H$61,8,FALSE)</f>
        <v>1426</v>
      </c>
    </row>
    <row r="3" ht="22.5" customHeight="1">
      <c r="A3" s="25"/>
      <c r="B3" s="24">
        <f>AVERAGE(Sales_Data!H3:H32)</f>
        <v>1587.733333</v>
      </c>
      <c r="C3" s="25" t="str">
        <f>IF(Sales_Data!C3&gt;0,"Active","Inactive")</f>
        <v>Active</v>
      </c>
      <c r="D3" s="25">
        <f>COUNTIF(Sales_Data!G2:G31,"South")</f>
        <v>5</v>
      </c>
      <c r="E3" s="26" t="s">
        <v>19</v>
      </c>
      <c r="F3" s="27" t="str">
        <f>IF(Sales_Data!H3&gt;=2000,"High",IF(Sales_Data!H3&gt;=1000,"Medium",IF(Sales_Data!H3&gt;0,"Low","No Sale")))</f>
        <v>High</v>
      </c>
      <c r="G3" s="27">
        <f>SUMIF(Sales_Data!$E$2:$E$31,Sales_Data!E3,Sales_Data!$H$2:$H$31)</f>
        <v>9556</v>
      </c>
      <c r="H3" s="28" t="str">
        <f>Sales_Data!E3</f>
        <v>John Lee</v>
      </c>
    </row>
    <row r="4" ht="22.5" customHeight="1">
      <c r="A4" s="25"/>
      <c r="B4" s="24">
        <f>AVERAGE(Sales_Data!H4:H33)</f>
        <v>1541</v>
      </c>
      <c r="C4" s="25" t="str">
        <f>IF(Sales_Data!C4&gt;0,"Active","Inactive")</f>
        <v>Active</v>
      </c>
      <c r="D4" s="25">
        <f>COUNTIF(Sales_Data!G2:G31,"West")</f>
        <v>7</v>
      </c>
      <c r="E4" s="26" t="s">
        <v>15</v>
      </c>
      <c r="F4" s="27" t="str">
        <f>IF(Sales_Data!H4&gt;=2000,"High",IF(Sales_Data!H4&gt;=1000,"Medium",IF(Sales_Data!H4&gt;0,"Low","No Sale")))</f>
        <v>Medium</v>
      </c>
      <c r="G4" s="27">
        <f>SUMIF(Sales_Data!$E$2:$E$31,Sales_Data!E4,Sales_Data!$H$2:$H$31)</f>
        <v>8801</v>
      </c>
      <c r="H4" s="28" t="str">
        <f>Sales_Data!E4</f>
        <v>Maria Santos</v>
      </c>
    </row>
    <row r="5" ht="22.5" customHeight="1">
      <c r="A5" s="25"/>
      <c r="B5" s="24">
        <f>AVERAGE(Sales_Data!H5:H34)</f>
        <v>1563.833333</v>
      </c>
      <c r="C5" s="25" t="str">
        <f>IF(Sales_Data!C5&gt;0,"Active","Inactive")</f>
        <v>Active</v>
      </c>
      <c r="D5" s="25">
        <f>COUNTIF(Sales_Data!G2:G31,"East")</f>
        <v>10</v>
      </c>
      <c r="E5" s="26" t="s">
        <v>11</v>
      </c>
      <c r="F5" s="27" t="str">
        <f>IF(Sales_Data!H5&gt;=2000,"High",IF(Sales_Data!H5&gt;=1000,"Medium",IF(Sales_Data!H5&gt;0,"Low","No Sale")))</f>
        <v>Low</v>
      </c>
      <c r="G5" s="27">
        <f>SUMIF(Sales_Data!$E$2:$E$31,Sales_Data!E5,Sales_Data!$H$2:$H$31)</f>
        <v>8813</v>
      </c>
      <c r="H5" s="28" t="str">
        <f>Sales_Data!E5</f>
        <v>David Kim</v>
      </c>
    </row>
    <row r="6" ht="22.5" customHeight="1">
      <c r="A6" s="25"/>
      <c r="B6" s="24">
        <f>AVERAGE(Sales_Data!H6:H35)</f>
        <v>1639.333333</v>
      </c>
      <c r="C6" s="25" t="str">
        <f>IF(Sales_Data!C6&gt;0,"Active","Inactive")</f>
        <v>Active</v>
      </c>
      <c r="D6" s="25"/>
      <c r="E6" s="25"/>
      <c r="F6" s="27" t="str">
        <f>IF(Sales_Data!H6&gt;=2000,"High",IF(Sales_Data!H6&gt;=1000,"Medium",IF(Sales_Data!H6&gt;0,"Low","No Sale")))</f>
        <v>Medium</v>
      </c>
      <c r="G6" s="27">
        <f>SUMIF(Sales_Data!$E$2:$E$31,Sales_Data!E6,Sales_Data!$H$2:$H$31)</f>
        <v>10345</v>
      </c>
      <c r="H6" s="28" t="str">
        <f>Sales_Data!E6</f>
        <v>Luis Garcia</v>
      </c>
    </row>
    <row r="7" ht="22.5" customHeight="1">
      <c r="A7" s="25"/>
      <c r="B7" s="24">
        <f>AVERAGE(Sales_Data!H7:H36)</f>
        <v>1630.533333</v>
      </c>
      <c r="C7" s="25" t="str">
        <f>IF(Sales_Data!C7&gt;0,"Active","Inactive")</f>
        <v>Active</v>
      </c>
      <c r="D7" s="25"/>
      <c r="E7" s="25"/>
      <c r="F7" s="27" t="str">
        <f>IF(Sales_Data!H7&gt;=2000,"High",IF(Sales_Data!H7&gt;=1000,"Medium",IF(Sales_Data!H7&gt;0,"Low","No Sale")))</f>
        <v>Medium</v>
      </c>
      <c r="G7" s="27">
        <f>SUMIF(Sales_Data!$E$2:$E$31,Sales_Data!E7,Sales_Data!$H$2:$H$31)</f>
        <v>10474</v>
      </c>
      <c r="H7" s="28" t="str">
        <f>Sales_Data!E7</f>
        <v>Ana Cruz</v>
      </c>
    </row>
    <row r="8" ht="22.5" customHeight="1">
      <c r="A8" s="25"/>
      <c r="B8" s="24">
        <f>AVERAGE(Sales_Data!H8:H37)</f>
        <v>1598.666667</v>
      </c>
      <c r="C8" s="25" t="str">
        <f>IF(Sales_Data!C8&gt;0,"Active","Inactive")</f>
        <v>Active</v>
      </c>
      <c r="D8" s="25"/>
      <c r="E8" s="25"/>
      <c r="F8" s="27" t="str">
        <f>IF(Sales_Data!H8&gt;=2000,"High",IF(Sales_Data!H8&gt;=1000,"Medium",IF(Sales_Data!H8&gt;0,"Low","No Sale")))</f>
        <v>Medium</v>
      </c>
      <c r="G8" s="27">
        <f>SUMIF(Sales_Data!$E$2:$E$31,Sales_Data!E8,Sales_Data!$H$2:$H$31)</f>
        <v>9556</v>
      </c>
      <c r="H8" s="28" t="str">
        <f>Sales_Data!E8</f>
        <v>John Lee</v>
      </c>
    </row>
    <row r="9" ht="22.5" customHeight="1">
      <c r="A9" s="25"/>
      <c r="B9" s="24">
        <f>AVERAGE(Sales_Data!H9:H38)</f>
        <v>1634</v>
      </c>
      <c r="C9" s="25" t="str">
        <f>IF(Sales_Data!C9&gt;0,"Active","Inactive")</f>
        <v>Active</v>
      </c>
      <c r="D9" s="25"/>
      <c r="E9" s="25"/>
      <c r="F9" s="27" t="str">
        <f>IF(Sales_Data!H9&gt;=2000,"High",IF(Sales_Data!H9&gt;=1000,"Medium",IF(Sales_Data!H9&gt;0,"Low","No Sale")))</f>
        <v>Low</v>
      </c>
      <c r="G9" s="27">
        <f>SUMIF(Sales_Data!$E$2:$E$31,Sales_Data!E9,Sales_Data!$H$2:$H$31)</f>
        <v>8801</v>
      </c>
      <c r="H9" s="28" t="str">
        <f>Sales_Data!E9</f>
        <v>Maria Santos</v>
      </c>
    </row>
    <row r="10" ht="22.5" customHeight="1">
      <c r="A10" s="25"/>
      <c r="B10" s="24">
        <f>AVERAGE(Sales_Data!H10:H39)</f>
        <v>1719.333333</v>
      </c>
      <c r="C10" s="25" t="str">
        <f>IF(Sales_Data!C10&gt;0,"Active","Inactive")</f>
        <v>Active</v>
      </c>
      <c r="D10" s="25"/>
      <c r="E10" s="25"/>
      <c r="F10" s="27" t="str">
        <f>IF(Sales_Data!H10&gt;=2000,"High",IF(Sales_Data!H10&gt;=1000,"Medium",IF(Sales_Data!H10&gt;0,"Low","No Sale")))</f>
        <v>High</v>
      </c>
      <c r="G10" s="27">
        <f>SUMIF(Sales_Data!$E$2:$E$31,Sales_Data!E10,Sales_Data!$H$2:$H$31)</f>
        <v>8813</v>
      </c>
      <c r="H10" s="28" t="str">
        <f>Sales_Data!E10</f>
        <v>David Kim</v>
      </c>
    </row>
    <row r="11" ht="22.5" customHeight="1">
      <c r="A11" s="25"/>
      <c r="B11" s="24">
        <f>AVERAGE(Sales_Data!H11:H40)</f>
        <v>1685.633333</v>
      </c>
      <c r="C11" s="25" t="str">
        <f>IF(Sales_Data!C11&gt;0,"Active","Inactive")</f>
        <v>Active</v>
      </c>
      <c r="D11" s="25"/>
      <c r="E11" s="25"/>
      <c r="F11" s="27" t="str">
        <f>IF(Sales_Data!H11&gt;=2000,"High",IF(Sales_Data!H11&gt;=1000,"Medium",IF(Sales_Data!H11&gt;0,"Low","No Sale")))</f>
        <v>High</v>
      </c>
      <c r="G11" s="27">
        <f>SUMIF(Sales_Data!$E$2:$E$31,Sales_Data!E11,Sales_Data!$H$2:$H$31)</f>
        <v>10345</v>
      </c>
      <c r="H11" s="28" t="str">
        <f>Sales_Data!E11</f>
        <v>Luis Garcia</v>
      </c>
    </row>
    <row r="12" ht="22.5" customHeight="1">
      <c r="A12" s="25"/>
      <c r="B12" s="24">
        <f>AVERAGE(Sales_Data!H12:H41)</f>
        <v>1618.766667</v>
      </c>
      <c r="C12" s="25" t="str">
        <f>IF(Sales_Data!C12&gt;0,"Active","Inactive")</f>
        <v>Active</v>
      </c>
      <c r="D12" s="25"/>
      <c r="E12" s="25"/>
      <c r="F12" s="27" t="str">
        <f>IF(Sales_Data!H12&gt;=2000,"High",IF(Sales_Data!H12&gt;=1000,"Medium",IF(Sales_Data!H12&gt;0,"Low","No Sale")))</f>
        <v>Medium</v>
      </c>
      <c r="G12" s="27">
        <f>SUMIF(Sales_Data!$E$2:$E$31,Sales_Data!E12,Sales_Data!$H$2:$H$31)</f>
        <v>10474</v>
      </c>
      <c r="H12" s="28" t="str">
        <f>Sales_Data!E12</f>
        <v>Ana Cruz</v>
      </c>
    </row>
    <row r="13" ht="22.5" customHeight="1">
      <c r="A13" s="25"/>
      <c r="B13" s="24">
        <f>AVERAGE(Sales_Data!H13:H42)</f>
        <v>1655.3</v>
      </c>
      <c r="C13" s="25" t="str">
        <f>IF(Sales_Data!C13&gt;0,"Active","Inactive")</f>
        <v>Active</v>
      </c>
      <c r="D13" s="25"/>
      <c r="E13" s="25"/>
      <c r="F13" s="27" t="str">
        <f>IF(Sales_Data!H13&gt;=2000,"High",IF(Sales_Data!H13&gt;=1000,"Medium",IF(Sales_Data!H13&gt;0,"Low","No Sale")))</f>
        <v>Low</v>
      </c>
      <c r="G13" s="27">
        <f>SUMIF(Sales_Data!$E$2:$E$31,Sales_Data!E13,Sales_Data!$H$2:$H$31)</f>
        <v>9556</v>
      </c>
      <c r="H13" s="28" t="str">
        <f>Sales_Data!E13</f>
        <v>John Lee</v>
      </c>
    </row>
    <row r="14" ht="22.5" customHeight="1">
      <c r="A14" s="25"/>
      <c r="B14" s="24">
        <f>AVERAGE(Sales_Data!H14:H43)</f>
        <v>1702.3</v>
      </c>
      <c r="C14" s="25" t="str">
        <f>IF(Sales_Data!C14&gt;0,"Active","Inactive")</f>
        <v>Active</v>
      </c>
      <c r="D14" s="25"/>
      <c r="E14" s="25"/>
      <c r="F14" s="27" t="str">
        <f>IF(Sales_Data!H14&gt;=2000,"High",IF(Sales_Data!H14&gt;=1000,"Medium",IF(Sales_Data!H14&gt;0,"Low","No Sale")))</f>
        <v>High</v>
      </c>
      <c r="G14" s="27">
        <f>SUMIF(Sales_Data!$E$2:$E$31,Sales_Data!E14,Sales_Data!$H$2:$H$31)</f>
        <v>8801</v>
      </c>
      <c r="H14" s="28" t="str">
        <f>Sales_Data!E14</f>
        <v>Maria Santos</v>
      </c>
    </row>
    <row r="15" ht="22.5" customHeight="1">
      <c r="A15" s="25"/>
      <c r="B15" s="24">
        <f>AVERAGE(Sales_Data!H15:H44)</f>
        <v>1665.1</v>
      </c>
      <c r="C15" s="25" t="str">
        <f>IF(Sales_Data!C15&gt;0,"Active","Inactive")</f>
        <v>Active</v>
      </c>
      <c r="D15" s="25"/>
      <c r="E15" s="25"/>
      <c r="F15" s="27" t="str">
        <f>IF(Sales_Data!H15&gt;=2000,"High",IF(Sales_Data!H15&gt;=1000,"Medium",IF(Sales_Data!H15&gt;0,"Low","No Sale")))</f>
        <v>Medium</v>
      </c>
      <c r="G15" s="27">
        <f>SUMIF(Sales_Data!$E$2:$E$31,Sales_Data!E15,Sales_Data!$H$2:$H$31)</f>
        <v>8813</v>
      </c>
      <c r="H15" s="28" t="str">
        <f>Sales_Data!E15</f>
        <v>David Kim</v>
      </c>
    </row>
    <row r="16" ht="22.5" customHeight="1">
      <c r="A16" s="25"/>
      <c r="B16" s="24">
        <f>AVERAGE(Sales_Data!H16:H45)</f>
        <v>1619.766667</v>
      </c>
      <c r="C16" s="25" t="str">
        <f>IF(Sales_Data!C16&gt;0,"Active","Inactive")</f>
        <v>Active</v>
      </c>
      <c r="D16" s="25"/>
      <c r="E16" s="25"/>
      <c r="F16" s="27" t="str">
        <f>IF(Sales_Data!H16&gt;=2000,"High",IF(Sales_Data!H16&gt;=1000,"Medium",IF(Sales_Data!H16&gt;0,"Low","No Sale")))</f>
        <v>Medium</v>
      </c>
      <c r="G16" s="27">
        <f>SUMIF(Sales_Data!$E$2:$E$31,Sales_Data!E16,Sales_Data!$H$2:$H$31)</f>
        <v>10345</v>
      </c>
      <c r="H16" s="28" t="str">
        <f>Sales_Data!E16</f>
        <v>Luis Garcia</v>
      </c>
    </row>
    <row r="17" ht="22.5" customHeight="1">
      <c r="A17" s="25"/>
      <c r="B17" s="24">
        <f>AVERAGE(Sales_Data!H17:H46)</f>
        <v>1680.166667</v>
      </c>
      <c r="C17" s="25" t="str">
        <f>IF(Sales_Data!C17&gt;0,"Active","Inactive")</f>
        <v>Active</v>
      </c>
      <c r="D17" s="25"/>
      <c r="E17" s="25"/>
      <c r="F17" s="27" t="str">
        <f>IF(Sales_Data!H17&gt;=2000,"High",IF(Sales_Data!H17&gt;=1000,"Medium",IF(Sales_Data!H17&gt;0,"Low","No Sale")))</f>
        <v>Low</v>
      </c>
      <c r="G17" s="27">
        <f>SUMIF(Sales_Data!$E$2:$E$31,Sales_Data!E17,Sales_Data!$H$2:$H$31)</f>
        <v>10474</v>
      </c>
      <c r="H17" s="28" t="str">
        <f>Sales_Data!E17</f>
        <v>Ana Cruz</v>
      </c>
    </row>
    <row r="18" ht="22.5" customHeight="1">
      <c r="A18" s="25"/>
      <c r="B18" s="24">
        <f>AVERAGE(Sales_Data!H18:H47)</f>
        <v>1752.533333</v>
      </c>
      <c r="C18" s="25" t="str">
        <f>IF(Sales_Data!C18&gt;0,"Active","Inactive")</f>
        <v>Active</v>
      </c>
      <c r="D18" s="25"/>
      <c r="E18" s="25"/>
      <c r="F18" s="27" t="str">
        <f>IF(Sales_Data!H18&gt;=2000,"High",IF(Sales_Data!H18&gt;=1000,"Medium",IF(Sales_Data!H18&gt;0,"Low","No Sale")))</f>
        <v>Medium</v>
      </c>
      <c r="G18" s="27">
        <f>SUMIF(Sales_Data!$E$2:$E$31,Sales_Data!E18,Sales_Data!$H$2:$H$31)</f>
        <v>9556</v>
      </c>
      <c r="H18" s="28" t="str">
        <f>Sales_Data!E18</f>
        <v>John Lee</v>
      </c>
    </row>
    <row r="19" ht="22.5" customHeight="1">
      <c r="A19" s="25"/>
      <c r="B19" s="24">
        <f>AVERAGE(Sales_Data!H19:H48)</f>
        <v>1730.6</v>
      </c>
      <c r="C19" s="25" t="str">
        <f>IF(Sales_Data!C19&gt;0,"Active","Inactive")</f>
        <v>Active</v>
      </c>
      <c r="D19" s="25"/>
      <c r="E19" s="25"/>
      <c r="F19" s="27" t="str">
        <f>IF(Sales_Data!H19&gt;=2000,"High",IF(Sales_Data!H19&gt;=1000,"Medium",IF(Sales_Data!H19&gt;0,"Low","No Sale")))</f>
        <v>High</v>
      </c>
      <c r="G19" s="27">
        <f>SUMIF(Sales_Data!$E$2:$E$31,Sales_Data!E19,Sales_Data!$H$2:$H$31)</f>
        <v>8801</v>
      </c>
      <c r="H19" s="28" t="str">
        <f>Sales_Data!E19</f>
        <v>Maria Santos</v>
      </c>
    </row>
    <row r="20" ht="22.5" customHeight="1">
      <c r="A20" s="25"/>
      <c r="B20" s="24">
        <f>AVERAGE(Sales_Data!H20:H49)</f>
        <v>1672.4</v>
      </c>
      <c r="C20" s="25" t="str">
        <f>IF(Sales_Data!C20&gt;0,"Active","Inactive")</f>
        <v>Active</v>
      </c>
      <c r="D20" s="25"/>
      <c r="E20" s="25"/>
      <c r="F20" s="27" t="str">
        <f>IF(Sales_Data!H20&gt;=2000,"High",IF(Sales_Data!H20&gt;=1000,"Medium",IF(Sales_Data!H20&gt;0,"Low","No Sale")))</f>
        <v>Medium</v>
      </c>
      <c r="G20" s="27">
        <f>SUMIF(Sales_Data!$E$2:$E$31,Sales_Data!E20,Sales_Data!$H$2:$H$31)</f>
        <v>8813</v>
      </c>
      <c r="H20" s="28" t="str">
        <f>Sales_Data!E20</f>
        <v>David Kim</v>
      </c>
    </row>
    <row r="21" ht="22.5" customHeight="1">
      <c r="A21" s="25"/>
      <c r="B21" s="24">
        <f>AVERAGE(Sales_Data!H21:H50)</f>
        <v>1682.933333</v>
      </c>
      <c r="C21" s="25" t="str">
        <f>IF(Sales_Data!C21&gt;0,"Active","Inactive")</f>
        <v>Active</v>
      </c>
      <c r="D21" s="25"/>
      <c r="E21" s="25"/>
      <c r="F21" s="27" t="str">
        <f>IF(Sales_Data!H21&gt;=2000,"High",IF(Sales_Data!H21&gt;=1000,"Medium",IF(Sales_Data!H21&gt;0,"Low","No Sale")))</f>
        <v>Low</v>
      </c>
      <c r="G21" s="27">
        <f>SUMIF(Sales_Data!$E$2:$E$31,Sales_Data!E21,Sales_Data!$H$2:$H$31)</f>
        <v>10345</v>
      </c>
      <c r="H21" s="28" t="str">
        <f>Sales_Data!E21</f>
        <v>Luis Garcia</v>
      </c>
    </row>
    <row r="22" ht="22.5" customHeight="1">
      <c r="A22" s="25"/>
      <c r="B22" s="24">
        <f>AVERAGE(Sales_Data!H22:H51)</f>
        <v>1765.6</v>
      </c>
      <c r="C22" s="25" t="str">
        <f>IF(Sales_Data!C22&gt;0,"Active","Inactive")</f>
        <v>Active</v>
      </c>
      <c r="D22" s="25"/>
      <c r="E22" s="25"/>
      <c r="F22" s="27" t="str">
        <f>IF(Sales_Data!H22&gt;=2000,"High",IF(Sales_Data!H22&gt;=1000,"Medium",IF(Sales_Data!H22&gt;0,"Low","No Sale")))</f>
        <v>High</v>
      </c>
      <c r="G22" s="27">
        <f>SUMIF(Sales_Data!$E$2:$E$31,Sales_Data!E22,Sales_Data!$H$2:$H$31)</f>
        <v>10474</v>
      </c>
      <c r="H22" s="28" t="str">
        <f>Sales_Data!E22</f>
        <v>Ana Cruz</v>
      </c>
    </row>
    <row r="23" ht="22.5" customHeight="1">
      <c r="A23" s="25"/>
      <c r="B23" s="24">
        <f>AVERAGE(Sales_Data!H23:H52)</f>
        <v>1747.333333</v>
      </c>
      <c r="C23" s="25" t="str">
        <f>IF(Sales_Data!C23&gt;0,"Active","Inactive")</f>
        <v>Active</v>
      </c>
      <c r="D23" s="25"/>
      <c r="E23" s="25"/>
      <c r="F23" s="27" t="str">
        <f>IF(Sales_Data!H23&gt;=2000,"High",IF(Sales_Data!H23&gt;=1000,"Medium",IF(Sales_Data!H23&gt;0,"Low","No Sale")))</f>
        <v>High</v>
      </c>
      <c r="G23" s="27">
        <f>SUMIF(Sales_Data!$E$2:$E$31,Sales_Data!E23,Sales_Data!$H$2:$H$31)</f>
        <v>9556</v>
      </c>
      <c r="H23" s="28" t="str">
        <f>Sales_Data!E23</f>
        <v>John Lee</v>
      </c>
    </row>
    <row r="24" ht="22.5" customHeight="1">
      <c r="A24" s="25"/>
      <c r="B24" s="24">
        <f>AVERAGE(Sales_Data!H24:H53)</f>
        <v>1697.8</v>
      </c>
      <c r="C24" s="25" t="str">
        <f>IF(Sales_Data!C24&gt;0,"Active","Inactive")</f>
        <v>Active</v>
      </c>
      <c r="D24" s="25"/>
      <c r="E24" s="25"/>
      <c r="F24" s="27" t="str">
        <f>IF(Sales_Data!H24&gt;=2000,"High",IF(Sales_Data!H24&gt;=1000,"Medium",IF(Sales_Data!H24&gt;0,"Low","No Sale")))</f>
        <v>Medium</v>
      </c>
      <c r="G24" s="27">
        <f>SUMIF(Sales_Data!$E$2:$E$31,Sales_Data!E24,Sales_Data!$H$2:$H$31)</f>
        <v>8801</v>
      </c>
      <c r="H24" s="28" t="str">
        <f>Sales_Data!E24</f>
        <v>Maria Santos</v>
      </c>
    </row>
    <row r="25" ht="22.5" customHeight="1">
      <c r="A25" s="25"/>
      <c r="B25" s="24">
        <f>AVERAGE(Sales_Data!H25:H54)</f>
        <v>1748.6</v>
      </c>
      <c r="C25" s="25" t="str">
        <f>IF(Sales_Data!C25&gt;0,"Active","Inactive")</f>
        <v>Active</v>
      </c>
      <c r="D25" s="25"/>
      <c r="E25" s="25"/>
      <c r="F25" s="27" t="str">
        <f>IF(Sales_Data!H25&gt;=2000,"High",IF(Sales_Data!H25&gt;=1000,"Medium",IF(Sales_Data!H25&gt;0,"Low","No Sale")))</f>
        <v>Low</v>
      </c>
      <c r="G25" s="27">
        <f>SUMIF(Sales_Data!$E$2:$E$31,Sales_Data!E25,Sales_Data!$H$2:$H$31)</f>
        <v>8813</v>
      </c>
      <c r="H25" s="28" t="str">
        <f>Sales_Data!E25</f>
        <v>David Kim</v>
      </c>
    </row>
    <row r="26" ht="22.5" customHeight="1">
      <c r="A26" s="25"/>
      <c r="B26" s="24">
        <f>AVERAGE(Sales_Data!H26:H55)</f>
        <v>1806.8</v>
      </c>
      <c r="C26" s="25" t="str">
        <f>IF(Sales_Data!C26&gt;0,"Active","Inactive")</f>
        <v>Active</v>
      </c>
      <c r="D26" s="25"/>
      <c r="E26" s="25"/>
      <c r="F26" s="27" t="str">
        <f>IF(Sales_Data!H26&gt;=2000,"High",IF(Sales_Data!H26&gt;=1000,"Medium",IF(Sales_Data!H26&gt;0,"Low","No Sale")))</f>
        <v>High</v>
      </c>
      <c r="G26" s="27">
        <f>SUMIF(Sales_Data!$E$2:$E$31,Sales_Data!E26,Sales_Data!$H$2:$H$31)</f>
        <v>10345</v>
      </c>
      <c r="H26" s="28" t="str">
        <f>Sales_Data!E26</f>
        <v>Luis Garcia</v>
      </c>
    </row>
    <row r="27" ht="22.5" customHeight="1">
      <c r="A27" s="25"/>
      <c r="B27" s="24">
        <f>AVERAGE(Sales_Data!H27:H56)</f>
        <v>1769.4</v>
      </c>
      <c r="C27" s="25" t="str">
        <f>IF(Sales_Data!C27&gt;0,"Active","Inactive")</f>
        <v>Active</v>
      </c>
      <c r="D27" s="25"/>
      <c r="E27" s="25"/>
      <c r="F27" s="27" t="str">
        <f>IF(Sales_Data!H27&gt;=2000,"High",IF(Sales_Data!H27&gt;=1000,"Medium",IF(Sales_Data!H27&gt;0,"Low","No Sale")))</f>
        <v>High</v>
      </c>
      <c r="G27" s="27">
        <f>SUMIF(Sales_Data!$E$2:$E$31,Sales_Data!E27,Sales_Data!$H$2:$H$31)</f>
        <v>10474</v>
      </c>
      <c r="H27" s="28" t="str">
        <f>Sales_Data!E27</f>
        <v>Ana Cruz</v>
      </c>
    </row>
    <row r="28" ht="22.5" customHeight="1">
      <c r="A28" s="25"/>
      <c r="B28" s="24">
        <f>AVERAGE(Sales_Data!H28:H57)</f>
        <v>1680.666667</v>
      </c>
      <c r="C28" s="25" t="str">
        <f>IF(Sales_Data!C28&gt;0,"Active","Inactive")</f>
        <v>Active</v>
      </c>
      <c r="D28" s="25"/>
      <c r="E28" s="25"/>
      <c r="F28" s="27" t="str">
        <f>IF(Sales_Data!H28&gt;=2000,"High",IF(Sales_Data!H28&gt;=1000,"Medium",IF(Sales_Data!H28&gt;0,"Low","No Sale")))</f>
        <v>Medium</v>
      </c>
      <c r="G28" s="27">
        <f>SUMIF(Sales_Data!$E$2:$E$31,Sales_Data!E28,Sales_Data!$H$2:$H$31)</f>
        <v>9556</v>
      </c>
      <c r="H28" s="28" t="str">
        <f>Sales_Data!E28</f>
        <v>John Lee</v>
      </c>
    </row>
    <row r="29" ht="22.5" customHeight="1">
      <c r="A29" s="25"/>
      <c r="B29" s="24">
        <f>AVERAGE(Sales_Data!H29:H58)</f>
        <v>1725.166667</v>
      </c>
      <c r="C29" s="25" t="str">
        <f>IF(Sales_Data!C29&gt;0,"Active","Inactive")</f>
        <v>Active</v>
      </c>
      <c r="D29" s="25"/>
      <c r="E29" s="25"/>
      <c r="F29" s="27" t="str">
        <f>IF(Sales_Data!H29&gt;=2000,"High",IF(Sales_Data!H29&gt;=1000,"Medium",IF(Sales_Data!H29&gt;0,"Low","No Sale")))</f>
        <v>Low</v>
      </c>
      <c r="G29" s="27">
        <f>SUMIF(Sales_Data!$E$2:$E$31,Sales_Data!E29,Sales_Data!$H$2:$H$31)</f>
        <v>8801</v>
      </c>
      <c r="H29" s="28" t="str">
        <f>Sales_Data!E29</f>
        <v>Maria Santos</v>
      </c>
    </row>
    <row r="30" ht="22.5" customHeight="1">
      <c r="A30" s="25"/>
      <c r="B30" s="24">
        <f>AVERAGE(Sales_Data!H30:H59)</f>
        <v>1764.866667</v>
      </c>
      <c r="C30" s="25" t="str">
        <f>IF(Sales_Data!C30&gt;0,"Active","Inactive")</f>
        <v>Active</v>
      </c>
      <c r="D30" s="25"/>
      <c r="E30" s="25"/>
      <c r="F30" s="27" t="str">
        <f>IF(Sales_Data!H30&gt;=2000,"High",IF(Sales_Data!H30&gt;=1000,"Medium",IF(Sales_Data!H30&gt;0,"Low","No Sale")))</f>
        <v>High</v>
      </c>
      <c r="G30" s="27">
        <f>SUMIF(Sales_Data!$E$2:$E$31,Sales_Data!E30,Sales_Data!$H$2:$H$31)</f>
        <v>8813</v>
      </c>
      <c r="H30" s="28" t="str">
        <f>Sales_Data!E30</f>
        <v>David Kim</v>
      </c>
    </row>
    <row r="31" ht="22.5" customHeight="1">
      <c r="A31" s="25"/>
      <c r="B31" s="24">
        <f>AVERAGE(Sales_Data!H31:H60)</f>
        <v>1731.9</v>
      </c>
      <c r="C31" s="25" t="str">
        <f>IF(Sales_Data!C31&gt;0,"Active","Inactive")</f>
        <v>Active</v>
      </c>
      <c r="D31" s="25"/>
      <c r="E31" s="25"/>
      <c r="F31" s="27" t="str">
        <f>IF(Sales_Data!H31&gt;=2000,"High",IF(Sales_Data!H31&gt;=1000,"Medium",IF(Sales_Data!H31&gt;0,"Low","No Sale")))</f>
        <v>Medium</v>
      </c>
      <c r="G31" s="27">
        <f>SUMIF(Sales_Data!$E$2:$E$31,Sales_Data!E31,Sales_Data!$H$2:$H$31)</f>
        <v>10345</v>
      </c>
      <c r="H31" s="28" t="str">
        <f>Sales_Data!E31</f>
        <v>Luis Garcia</v>
      </c>
    </row>
    <row r="32" ht="22.5" customHeight="1">
      <c r="A32" s="25"/>
      <c r="B32" s="24">
        <f>AVERAGE(Sales_Data!H32:H61)</f>
        <v>1711.9</v>
      </c>
      <c r="C32" s="25" t="str">
        <f>IF(Sales_Data!C32&gt;0,"Active","Inactive")</f>
        <v>Active</v>
      </c>
      <c r="D32" s="25"/>
      <c r="E32" s="25"/>
      <c r="F32" s="27" t="str">
        <f>IF(Sales_Data!H32&gt;=2000,"High",IF(Sales_Data!H32&gt;=1000,"Medium",IF(Sales_Data!H32&gt;0,"Low","No Sale")))</f>
        <v>Medium</v>
      </c>
      <c r="G32" s="27">
        <f>SUMIF(Sales_Data!$E$2:$E$31,Sales_Data!E32,Sales_Data!$H$2:$H$31)</f>
        <v>10474</v>
      </c>
      <c r="H32" s="28" t="str">
        <f>Sales_Data!E32</f>
        <v>Ana Cruz</v>
      </c>
    </row>
    <row r="33" ht="22.5" customHeight="1">
      <c r="A33" s="25"/>
      <c r="B33" s="24">
        <f>AVERAGE(Sales_Data!H33:H62)</f>
        <v>1721.172414</v>
      </c>
      <c r="C33" s="25" t="str">
        <f>IF(Sales_Data!C33&gt;0,"Active","Inactive")</f>
        <v>Active</v>
      </c>
      <c r="D33" s="25"/>
      <c r="E33" s="25"/>
      <c r="F33" s="27" t="str">
        <f>IF(Sales_Data!H33&gt;=2000,"High",IF(Sales_Data!H33&gt;=1000,"Medium",IF(Sales_Data!H33&gt;0,"Low","No Sale")))</f>
        <v>Low</v>
      </c>
      <c r="G33" s="27">
        <f>SUMIF(Sales_Data!$E$2:$E$31,Sales_Data!E33,Sales_Data!$H$2:$H$31)</f>
        <v>9556</v>
      </c>
      <c r="H33" s="28" t="str">
        <f>Sales_Data!E33</f>
        <v>John Lee</v>
      </c>
    </row>
    <row r="34" ht="22.5" customHeight="1">
      <c r="A34" s="25"/>
      <c r="B34" s="24">
        <f>AVERAGE(Sales_Data!H34:H63)</f>
        <v>1761.285714</v>
      </c>
      <c r="C34" s="25" t="str">
        <f>IF(Sales_Data!C34&gt;0,"Active","Inactive")</f>
        <v>Active</v>
      </c>
      <c r="D34" s="25"/>
      <c r="E34" s="25"/>
      <c r="F34" s="27" t="str">
        <f>IF(Sales_Data!H34&gt;=2000,"High",IF(Sales_Data!H34&gt;=1000,"Medium",IF(Sales_Data!H34&gt;0,"Low","No Sale")))</f>
        <v>Medium</v>
      </c>
      <c r="G34" s="27">
        <f>SUMIF(Sales_Data!$E$2:$E$31,Sales_Data!E34,Sales_Data!$H$2:$H$31)</f>
        <v>8801</v>
      </c>
      <c r="H34" s="28" t="str">
        <f>Sales_Data!E34</f>
        <v>Maria Santos</v>
      </c>
    </row>
    <row r="35" ht="22.5" customHeight="1">
      <c r="A35" s="25"/>
      <c r="B35" s="24">
        <f>AVERAGE(Sales_Data!H35:H64)</f>
        <v>1756.703704</v>
      </c>
      <c r="C35" s="25" t="str">
        <f>IF(Sales_Data!C35&gt;0,"Active","Inactive")</f>
        <v>Active</v>
      </c>
      <c r="D35" s="25"/>
      <c r="E35" s="25"/>
      <c r="F35" s="27" t="str">
        <f>IF(Sales_Data!H35&gt;=2000,"High",IF(Sales_Data!H35&gt;=1000,"Medium",IF(Sales_Data!H35&gt;0,"Low","No Sale")))</f>
        <v>High</v>
      </c>
      <c r="G35" s="27">
        <f>SUMIF(Sales_Data!$E$2:$E$31,Sales_Data!E35,Sales_Data!$H$2:$H$31)</f>
        <v>8813</v>
      </c>
      <c r="H35" s="28" t="str">
        <f>Sales_Data!E35</f>
        <v>David Kim</v>
      </c>
    </row>
    <row r="36" ht="22.5" customHeight="1">
      <c r="A36" s="25"/>
      <c r="B36" s="24">
        <f>AVERAGE(Sales_Data!H36:H65)</f>
        <v>1722.730769</v>
      </c>
      <c r="C36" s="25" t="str">
        <f>IF(Sales_Data!C36&gt;0,"Active","Inactive")</f>
        <v>Active</v>
      </c>
      <c r="D36" s="25"/>
      <c r="E36" s="25"/>
      <c r="F36" s="27" t="str">
        <f>IF(Sales_Data!H36&gt;=2000,"High",IF(Sales_Data!H36&gt;=1000,"Medium",IF(Sales_Data!H36&gt;0,"Low","No Sale")))</f>
        <v>Medium</v>
      </c>
      <c r="G36" s="27">
        <f>SUMIF(Sales_Data!$E$2:$E$31,Sales_Data!E36,Sales_Data!$H$2:$H$31)</f>
        <v>10345</v>
      </c>
      <c r="H36" s="28" t="str">
        <f>Sales_Data!E36</f>
        <v>Luis Garcia</v>
      </c>
    </row>
    <row r="37" ht="22.5" customHeight="1">
      <c r="A37" s="25"/>
      <c r="B37" s="24">
        <f>AVERAGE(Sales_Data!H37:H66)</f>
        <v>1730.2</v>
      </c>
      <c r="C37" s="25" t="str">
        <f>IF(Sales_Data!C37&gt;0,"Active","Inactive")</f>
        <v>Active</v>
      </c>
      <c r="D37" s="25"/>
      <c r="E37" s="25"/>
      <c r="F37" s="27" t="str">
        <f>IF(Sales_Data!H37&gt;=2000,"High",IF(Sales_Data!H37&gt;=1000,"Medium",IF(Sales_Data!H37&gt;0,"Low","No Sale")))</f>
        <v>Low</v>
      </c>
      <c r="G37" s="27">
        <f>SUMIF(Sales_Data!$E$2:$E$31,Sales_Data!E37,Sales_Data!$H$2:$H$31)</f>
        <v>10474</v>
      </c>
      <c r="H37" s="28" t="str">
        <f>Sales_Data!E37</f>
        <v>Ana Cruz</v>
      </c>
    </row>
    <row r="38" ht="22.5" customHeight="1">
      <c r="A38" s="25"/>
      <c r="B38" s="24">
        <f>AVERAGE(Sales_Data!H38:H67)</f>
        <v>1779.625</v>
      </c>
      <c r="C38" s="25" t="str">
        <f>IF(Sales_Data!C38&gt;0,"Active","Inactive")</f>
        <v>Active</v>
      </c>
      <c r="D38" s="25"/>
      <c r="E38" s="25"/>
      <c r="F38" s="27" t="str">
        <f>IF(Sales_Data!H38&gt;=2000,"High",IF(Sales_Data!H38&gt;=1000,"Medium",IF(Sales_Data!H38&gt;0,"Low","No Sale")))</f>
        <v>High</v>
      </c>
      <c r="G38" s="27">
        <f>SUMIF(Sales_Data!$E$2:$E$31,Sales_Data!E38,Sales_Data!$H$2:$H$31)</f>
        <v>9556</v>
      </c>
      <c r="H38" s="28" t="str">
        <f>Sales_Data!E38</f>
        <v>John Lee</v>
      </c>
    </row>
    <row r="39" ht="22.5" customHeight="1">
      <c r="A39" s="25"/>
      <c r="B39" s="24">
        <f>AVERAGE(Sales_Data!H39:H68)</f>
        <v>1742.434783</v>
      </c>
      <c r="C39" s="25" t="str">
        <f>IF(Sales_Data!C39&gt;0,"Active","Inactive")</f>
        <v>Active</v>
      </c>
      <c r="D39" s="25"/>
      <c r="E39" s="25"/>
      <c r="F39" s="27" t="str">
        <f>IF(Sales_Data!H39&gt;=2000,"High",IF(Sales_Data!H39&gt;=1000,"Medium",IF(Sales_Data!H39&gt;0,"Low","No Sale")))</f>
        <v>High</v>
      </c>
      <c r="G39" s="27">
        <f>SUMIF(Sales_Data!$E$2:$E$31,Sales_Data!E39,Sales_Data!$H$2:$H$31)</f>
        <v>8801</v>
      </c>
      <c r="H39" s="28" t="str">
        <f>Sales_Data!E39</f>
        <v>Maria Santos</v>
      </c>
    </row>
    <row r="40" ht="22.5" customHeight="1">
      <c r="A40" s="25"/>
      <c r="B40" s="24">
        <f>AVERAGE(Sales_Data!H40:H69)</f>
        <v>1668.909091</v>
      </c>
      <c r="C40" s="25" t="str">
        <f>IF(Sales_Data!C40&gt;0,"Active","Inactive")</f>
        <v>Active</v>
      </c>
      <c r="D40" s="25"/>
      <c r="E40" s="25"/>
      <c r="F40" s="27" t="str">
        <f>IF(Sales_Data!H40&gt;=2000,"High",IF(Sales_Data!H40&gt;=1000,"Medium",IF(Sales_Data!H40&gt;0,"Low","No Sale")))</f>
        <v>Medium</v>
      </c>
      <c r="G40" s="27">
        <f>SUMIF(Sales_Data!$E$2:$E$31,Sales_Data!E40,Sales_Data!$H$2:$H$31)</f>
        <v>8813</v>
      </c>
      <c r="H40" s="28" t="str">
        <f>Sales_Data!E40</f>
        <v>David Kim</v>
      </c>
    </row>
    <row r="41" ht="22.5" customHeight="1">
      <c r="A41" s="25"/>
      <c r="B41" s="24">
        <f>AVERAGE(Sales_Data!H41:H70)</f>
        <v>1691.761905</v>
      </c>
      <c r="C41" s="25" t="str">
        <f>IF(Sales_Data!C41&gt;0,"Active","Inactive")</f>
        <v>Active</v>
      </c>
      <c r="D41" s="25"/>
      <c r="E41" s="25"/>
      <c r="F41" s="27" t="str">
        <f>IF(Sales_Data!H41&gt;=2000,"High",IF(Sales_Data!H41&gt;=1000,"Medium",IF(Sales_Data!H41&gt;0,"Low","No Sale")))</f>
        <v>Low</v>
      </c>
      <c r="G41" s="27">
        <f>SUMIF(Sales_Data!$E$2:$E$31,Sales_Data!E41,Sales_Data!$H$2:$H$31)</f>
        <v>10345</v>
      </c>
      <c r="H41" s="28" t="str">
        <f>Sales_Data!E41</f>
        <v>Luis Garcia</v>
      </c>
    </row>
    <row r="42" ht="22.5" customHeight="1">
      <c r="A42" s="25"/>
      <c r="B42" s="24">
        <f>AVERAGE(Sales_Data!H42:H71)</f>
        <v>1739.15</v>
      </c>
      <c r="C42" s="25" t="str">
        <f>IF(Sales_Data!C42&gt;0,"Active","Inactive")</f>
        <v>Active</v>
      </c>
      <c r="D42" s="25"/>
      <c r="E42" s="25"/>
      <c r="F42" s="27" t="str">
        <f>IF(Sales_Data!H42&gt;=2000,"High",IF(Sales_Data!H42&gt;=1000,"Medium",IF(Sales_Data!H42&gt;0,"Low","No Sale")))</f>
        <v>High</v>
      </c>
      <c r="G42" s="27">
        <f>SUMIF(Sales_Data!$E$2:$E$31,Sales_Data!E42,Sales_Data!$H$2:$H$31)</f>
        <v>10474</v>
      </c>
      <c r="H42" s="28" t="str">
        <f>Sales_Data!E42</f>
        <v>Ana Cruz</v>
      </c>
    </row>
    <row r="43" ht="22.5" customHeight="1">
      <c r="A43" s="25"/>
      <c r="B43" s="24">
        <f>AVERAGE(Sales_Data!H43:H72)</f>
        <v>1694.052632</v>
      </c>
      <c r="C43" s="25" t="str">
        <f>IF(Sales_Data!C43&gt;0,"Active","Inactive")</f>
        <v>Active</v>
      </c>
      <c r="D43" s="25"/>
      <c r="E43" s="25"/>
      <c r="F43" s="27" t="str">
        <f>IF(Sales_Data!H43&gt;=2000,"High",IF(Sales_Data!H43&gt;=1000,"Medium",IF(Sales_Data!H43&gt;0,"Low","No Sale")))</f>
        <v>High</v>
      </c>
      <c r="G43" s="27">
        <f>SUMIF(Sales_Data!$E$2:$E$31,Sales_Data!E43,Sales_Data!$H$2:$H$31)</f>
        <v>9556</v>
      </c>
      <c r="H43" s="28" t="str">
        <f>Sales_Data!E43</f>
        <v>John Lee</v>
      </c>
    </row>
    <row r="44" ht="22.5" customHeight="1">
      <c r="A44" s="25"/>
      <c r="B44" s="24">
        <f>AVERAGE(Sales_Data!H44:H73)</f>
        <v>1674.833333</v>
      </c>
      <c r="C44" s="25" t="str">
        <f>IF(Sales_Data!C44&gt;0,"Active","Inactive")</f>
        <v>Active</v>
      </c>
      <c r="D44" s="25"/>
      <c r="E44" s="25"/>
      <c r="F44" s="27" t="str">
        <f>IF(Sales_Data!H44&gt;=2000,"High",IF(Sales_Data!H44&gt;=1000,"Medium",IF(Sales_Data!H44&gt;0,"Low","No Sale")))</f>
        <v>Medium</v>
      </c>
      <c r="G44" s="27">
        <f>SUMIF(Sales_Data!$E$2:$E$31,Sales_Data!E44,Sales_Data!$H$2:$H$31)</f>
        <v>8801</v>
      </c>
      <c r="H44" s="28" t="str">
        <f>Sales_Data!E44</f>
        <v>Maria Santos</v>
      </c>
    </row>
    <row r="45" ht="22.5" customHeight="1">
      <c r="A45" s="25"/>
      <c r="B45" s="24">
        <f>AVERAGE(Sales_Data!H45:H74)</f>
        <v>1701.352941</v>
      </c>
      <c r="C45" s="25" t="str">
        <f>IF(Sales_Data!C45&gt;0,"Active","Inactive")</f>
        <v>Active</v>
      </c>
      <c r="D45" s="25"/>
      <c r="E45" s="25"/>
      <c r="F45" s="27" t="str">
        <f>IF(Sales_Data!H45&gt;=2000,"High",IF(Sales_Data!H45&gt;=1000,"Medium",IF(Sales_Data!H45&gt;0,"Low","No Sale")))</f>
        <v>Low</v>
      </c>
      <c r="G45" s="27">
        <f>SUMIF(Sales_Data!$E$2:$E$31,Sales_Data!E45,Sales_Data!$H$2:$H$31)</f>
        <v>8813</v>
      </c>
      <c r="H45" s="28" t="str">
        <f>Sales_Data!E45</f>
        <v>David Kim</v>
      </c>
    </row>
    <row r="46" ht="22.5" customHeight="1">
      <c r="A46" s="25"/>
      <c r="B46" s="24">
        <f>AVERAGE(Sales_Data!H46:H75)</f>
        <v>1772.6875</v>
      </c>
      <c r="C46" s="25" t="str">
        <f>IF(Sales_Data!C46&gt;0,"Active","Inactive")</f>
        <v>Active</v>
      </c>
      <c r="D46" s="25"/>
      <c r="E46" s="25"/>
      <c r="F46" s="27" t="str">
        <f>IF(Sales_Data!H46&gt;=2000,"High",IF(Sales_Data!H46&gt;=1000,"Medium",IF(Sales_Data!H46&gt;0,"Low","No Sale")))</f>
        <v>High</v>
      </c>
      <c r="G46" s="27">
        <f>SUMIF(Sales_Data!$E$2:$E$31,Sales_Data!E46,Sales_Data!$H$2:$H$31)</f>
        <v>10345</v>
      </c>
      <c r="H46" s="28" t="str">
        <f>Sales_Data!E46</f>
        <v>Luis Garcia</v>
      </c>
    </row>
    <row r="47" ht="22.5" customHeight="1">
      <c r="A47" s="25"/>
      <c r="B47" s="24">
        <f>AVERAGE(Sales_Data!H47:H76)</f>
        <v>1686.066667</v>
      </c>
      <c r="C47" s="25" t="str">
        <f>IF(Sales_Data!C47&gt;0,"Active","Inactive")</f>
        <v>Active</v>
      </c>
      <c r="D47" s="25"/>
      <c r="E47" s="25"/>
      <c r="F47" s="27" t="str">
        <f>IF(Sales_Data!H47&gt;=2000,"High",IF(Sales_Data!H47&gt;=1000,"Medium",IF(Sales_Data!H47&gt;0,"Low","No Sale")))</f>
        <v>High</v>
      </c>
      <c r="G47" s="27">
        <f>SUMIF(Sales_Data!$E$2:$E$31,Sales_Data!E47,Sales_Data!$H$2:$H$31)</f>
        <v>10474</v>
      </c>
      <c r="H47" s="28" t="str">
        <f>Sales_Data!E47</f>
        <v>Ana Cruz</v>
      </c>
    </row>
    <row r="48" ht="22.5" customHeight="1">
      <c r="A48" s="25"/>
      <c r="B48" s="24">
        <f>AVERAGE(Sales_Data!H48:H77)</f>
        <v>1616.857143</v>
      </c>
      <c r="C48" s="25" t="str">
        <f>IF(Sales_Data!C48&gt;0,"Active","Inactive")</f>
        <v>Active</v>
      </c>
      <c r="D48" s="25"/>
      <c r="E48" s="25"/>
      <c r="F48" s="27" t="str">
        <f>IF(Sales_Data!H48&gt;=2000,"High",IF(Sales_Data!H48&gt;=1000,"Medium",IF(Sales_Data!H48&gt;0,"Low","No Sale")))</f>
        <v>Medium</v>
      </c>
      <c r="G48" s="27">
        <f>SUMIF(Sales_Data!$E$2:$E$31,Sales_Data!E48,Sales_Data!$H$2:$H$31)</f>
        <v>9556</v>
      </c>
      <c r="H48" s="28" t="str">
        <f>Sales_Data!E48</f>
        <v>John Lee</v>
      </c>
    </row>
    <row r="49" ht="22.5" customHeight="1">
      <c r="A49" s="25"/>
      <c r="B49" s="24">
        <f>AVERAGE(Sales_Data!H49:H78)</f>
        <v>1641.076923</v>
      </c>
      <c r="C49" s="25" t="str">
        <f>IF(Sales_Data!C49&gt;0,"Active","Inactive")</f>
        <v>Active</v>
      </c>
      <c r="D49" s="25"/>
      <c r="E49" s="25"/>
      <c r="F49" s="27" t="str">
        <f>IF(Sales_Data!H49&gt;=2000,"High",IF(Sales_Data!H49&gt;=1000,"Medium",IF(Sales_Data!H49&gt;0,"Low","No Sale")))</f>
        <v>Low</v>
      </c>
      <c r="G49" s="27">
        <f>SUMIF(Sales_Data!$E$2:$E$31,Sales_Data!E49,Sales_Data!$H$2:$H$31)</f>
        <v>8801</v>
      </c>
      <c r="H49" s="28" t="str">
        <f>Sales_Data!E49</f>
        <v>Maria Santos</v>
      </c>
    </row>
    <row r="50" ht="22.5" customHeight="1">
      <c r="A50" s="25"/>
      <c r="B50" s="24">
        <f>AVERAGE(Sales_Data!H50:H79)</f>
        <v>1728.333333</v>
      </c>
      <c r="C50" s="25" t="str">
        <f>IF(Sales_Data!C50&gt;0,"Active","Inactive")</f>
        <v>Active</v>
      </c>
      <c r="D50" s="25"/>
      <c r="E50" s="25"/>
      <c r="F50" s="27" t="str">
        <f>IF(Sales_Data!H50&gt;=2000,"High",IF(Sales_Data!H50&gt;=1000,"Medium",IF(Sales_Data!H50&gt;0,"Low","No Sale")))</f>
        <v>Medium</v>
      </c>
      <c r="G50" s="27">
        <f>SUMIF(Sales_Data!$E$2:$E$31,Sales_Data!E50,Sales_Data!$H$2:$H$31)</f>
        <v>8813</v>
      </c>
      <c r="H50" s="28" t="str">
        <f>Sales_Data!E50</f>
        <v>David Kim</v>
      </c>
    </row>
    <row r="51" ht="22.5" customHeight="1">
      <c r="A51" s="25"/>
      <c r="B51" s="24">
        <f>AVERAGE(Sales_Data!H51:H80)</f>
        <v>1725.454545</v>
      </c>
      <c r="C51" s="25" t="str">
        <f>IF(Sales_Data!C51&gt;0,"Active","Inactive")</f>
        <v>Active</v>
      </c>
      <c r="D51" s="25"/>
      <c r="E51" s="25"/>
      <c r="F51" s="27" t="str">
        <f>IF(Sales_Data!H51&gt;=2000,"High",IF(Sales_Data!H51&gt;=1000,"Medium",IF(Sales_Data!H51&gt;0,"Low","No Sale")))</f>
        <v>High</v>
      </c>
      <c r="G51" s="27">
        <f>SUMIF(Sales_Data!$E$2:$E$31,Sales_Data!E51,Sales_Data!$H$2:$H$31)</f>
        <v>10345</v>
      </c>
      <c r="H51" s="28" t="str">
        <f>Sales_Data!E51</f>
        <v>Luis Garcia</v>
      </c>
    </row>
    <row r="52" ht="22.5" customHeight="1">
      <c r="A52" s="25"/>
      <c r="B52" s="24">
        <f>AVERAGE(Sales_Data!H52:H81)</f>
        <v>1593</v>
      </c>
      <c r="C52" s="25" t="str">
        <f>IF(Sales_Data!C52&gt;0,"Active","Inactive")</f>
        <v>Active</v>
      </c>
      <c r="D52" s="25"/>
      <c r="E52" s="25"/>
      <c r="F52" s="27" t="str">
        <f>IF(Sales_Data!H52&gt;=2000,"High",IF(Sales_Data!H52&gt;=1000,"Medium",IF(Sales_Data!H52&gt;0,"Low","No Sale")))</f>
        <v>Medium</v>
      </c>
      <c r="G52" s="27">
        <f>SUMIF(Sales_Data!$E$2:$E$31,Sales_Data!E52,Sales_Data!$H$2:$H$31)</f>
        <v>10474</v>
      </c>
      <c r="H52" s="28" t="str">
        <f>Sales_Data!E52</f>
        <v>Ana Cruz</v>
      </c>
    </row>
    <row r="53" ht="22.5" customHeight="1">
      <c r="A53" s="25"/>
      <c r="B53" s="24">
        <f>AVERAGE(Sales_Data!H53:H82)</f>
        <v>1608.666667</v>
      </c>
      <c r="C53" s="25" t="str">
        <f>IF(Sales_Data!C53&gt;0,"Active","Inactive")</f>
        <v>Active</v>
      </c>
      <c r="D53" s="25"/>
      <c r="E53" s="25"/>
      <c r="F53" s="27" t="str">
        <f>IF(Sales_Data!H53&gt;=2000,"High",IF(Sales_Data!H53&gt;=1000,"Medium",IF(Sales_Data!H53&gt;0,"Low","No Sale")))</f>
        <v>Low</v>
      </c>
      <c r="G53" s="27">
        <f>SUMIF(Sales_Data!$E$2:$E$31,Sales_Data!E53,Sales_Data!$H$2:$H$31)</f>
        <v>9556</v>
      </c>
      <c r="H53" s="28" t="str">
        <f>Sales_Data!E53</f>
        <v>John Lee</v>
      </c>
    </row>
    <row r="54" ht="22.5" customHeight="1">
      <c r="A54" s="25"/>
      <c r="B54" s="24">
        <f>AVERAGE(Sales_Data!H54:H83)</f>
        <v>1724.25</v>
      </c>
      <c r="C54" s="25" t="str">
        <f>IF(Sales_Data!C54&gt;0,"Active","Inactive")</f>
        <v>Active</v>
      </c>
      <c r="D54" s="25"/>
      <c r="E54" s="25"/>
      <c r="F54" s="27" t="str">
        <f>IF(Sales_Data!H54&gt;=2000,"High",IF(Sales_Data!H54&gt;=1000,"Medium",IF(Sales_Data!H54&gt;0,"Low","No Sale")))</f>
        <v>High</v>
      </c>
      <c r="G54" s="27">
        <f>SUMIF(Sales_Data!$E$2:$E$31,Sales_Data!E54,Sales_Data!$H$2:$H$31)</f>
        <v>8801</v>
      </c>
      <c r="H54" s="28" t="str">
        <f>Sales_Data!E54</f>
        <v>Maria Santos</v>
      </c>
    </row>
    <row r="55" ht="22.5" customHeight="1">
      <c r="A55" s="25"/>
      <c r="B55" s="24">
        <f>AVERAGE(Sales_Data!H55:H84)</f>
        <v>1536.857143</v>
      </c>
      <c r="C55" s="25" t="str">
        <f>IF(Sales_Data!C55&gt;0,"Active","Inactive")</f>
        <v>Active</v>
      </c>
      <c r="D55" s="25"/>
      <c r="E55" s="25"/>
      <c r="F55" s="27" t="str">
        <f>IF(Sales_Data!H55&gt;=2000,"High",IF(Sales_Data!H55&gt;=1000,"Medium",IF(Sales_Data!H55&gt;0,"Low","No Sale")))</f>
        <v>High</v>
      </c>
      <c r="G55" s="27">
        <f>SUMIF(Sales_Data!$E$2:$E$31,Sales_Data!E55,Sales_Data!$H$2:$H$31)</f>
        <v>8813</v>
      </c>
      <c r="H55" s="28" t="str">
        <f>Sales_Data!E55</f>
        <v>David Kim</v>
      </c>
    </row>
    <row r="56" ht="22.5" customHeight="1">
      <c r="A56" s="25"/>
      <c r="B56" s="24">
        <f>AVERAGE(Sales_Data!H56:H85)</f>
        <v>1425.5</v>
      </c>
      <c r="C56" s="25" t="str">
        <f>IF(Sales_Data!C56&gt;0,"Active","Inactive")</f>
        <v>Active</v>
      </c>
      <c r="D56" s="25"/>
      <c r="E56" s="25"/>
      <c r="F56" s="27" t="str">
        <f>IF(Sales_Data!H56&gt;=2000,"High",IF(Sales_Data!H56&gt;=1000,"Medium",IF(Sales_Data!H56&gt;0,"Low","No Sale")))</f>
        <v>Medium</v>
      </c>
      <c r="G56" s="27">
        <f>SUMIF(Sales_Data!$E$2:$E$31,Sales_Data!E56,Sales_Data!$H$2:$H$31)</f>
        <v>10345</v>
      </c>
      <c r="H56" s="28" t="str">
        <f>Sales_Data!E56</f>
        <v>Luis Garcia</v>
      </c>
    </row>
    <row r="57" ht="22.5" customHeight="1">
      <c r="A57" s="25"/>
      <c r="B57" s="24">
        <f>AVERAGE(Sales_Data!H57:H86)</f>
        <v>1422</v>
      </c>
      <c r="C57" s="25" t="str">
        <f>IF(Sales_Data!C57&gt;0,"Active","Inactive")</f>
        <v>Active</v>
      </c>
      <c r="D57" s="25"/>
      <c r="E57" s="25"/>
      <c r="F57" s="27" t="str">
        <f>IF(Sales_Data!H57&gt;=2000,"High",IF(Sales_Data!H57&gt;=1000,"Medium",IF(Sales_Data!H57&gt;0,"Low","No Sale")))</f>
        <v>Low</v>
      </c>
      <c r="G57" s="27">
        <f>SUMIF(Sales_Data!$E$2:$E$31,Sales_Data!E57,Sales_Data!$H$2:$H$31)</f>
        <v>10474</v>
      </c>
      <c r="H57" s="28" t="str">
        <f>Sales_Data!E57</f>
        <v>Ana Cruz</v>
      </c>
    </row>
    <row r="58" ht="22.5" customHeight="1">
      <c r="A58" s="25"/>
      <c r="B58" s="24">
        <f>AVERAGE(Sales_Data!H58:H87)</f>
        <v>1645.5</v>
      </c>
      <c r="C58" s="25" t="str">
        <f>IF(Sales_Data!C58&gt;0,"Active","Inactive")</f>
        <v>Active</v>
      </c>
      <c r="D58" s="25"/>
      <c r="E58" s="25"/>
      <c r="F58" s="27" t="str">
        <f>IF(Sales_Data!H58&gt;=2000,"High",IF(Sales_Data!H58&gt;=1000,"Medium",IF(Sales_Data!H58&gt;0,"Low","No Sale")))</f>
        <v>High</v>
      </c>
      <c r="G58" s="27">
        <f>SUMIF(Sales_Data!$E$2:$E$31,Sales_Data!E58,Sales_Data!$H$2:$H$31)</f>
        <v>9556</v>
      </c>
      <c r="H58" s="28" t="str">
        <f>Sales_Data!E58</f>
        <v>John Lee</v>
      </c>
    </row>
    <row r="59" ht="22.5" customHeight="1">
      <c r="A59" s="25"/>
      <c r="B59" s="24">
        <f>AVERAGE(Sales_Data!H59:H88)</f>
        <v>1342</v>
      </c>
      <c r="C59" s="25" t="str">
        <f>IF(Sales_Data!C59&gt;0,"Active","Inactive")</f>
        <v>Active</v>
      </c>
      <c r="D59" s="25"/>
      <c r="E59" s="25"/>
      <c r="F59" s="27" t="str">
        <f>IF(Sales_Data!H59&gt;=2000,"High",IF(Sales_Data!H59&gt;=1000,"Medium",IF(Sales_Data!H59&gt;0,"Low","No Sale")))</f>
        <v>Medium</v>
      </c>
      <c r="G59" s="27">
        <f>SUMIF(Sales_Data!$E$2:$E$31,Sales_Data!E59,Sales_Data!$H$2:$H$31)</f>
        <v>8801</v>
      </c>
      <c r="H59" s="28" t="str">
        <f>Sales_Data!E59</f>
        <v>Maria Santos</v>
      </c>
    </row>
    <row r="60" ht="22.5" customHeight="1">
      <c r="A60" s="25"/>
      <c r="B60" s="24">
        <f>AVERAGE(Sales_Data!H60:H89)</f>
        <v>1113</v>
      </c>
      <c r="C60" s="25" t="str">
        <f>IF(Sales_Data!C60&gt;0,"Active","Inactive")</f>
        <v>Active</v>
      </c>
      <c r="D60" s="25"/>
      <c r="E60" s="25"/>
      <c r="F60" s="27" t="str">
        <f>IF(Sales_Data!H60&gt;=2000,"High",IF(Sales_Data!H60&gt;=1000,"Medium",IF(Sales_Data!H60&gt;0,"Low","No Sale")))</f>
        <v>Medium</v>
      </c>
      <c r="G60" s="27">
        <f>SUMIF(Sales_Data!$E$2:$E$31,Sales_Data!E60,Sales_Data!$H$2:$H$31)</f>
        <v>8813</v>
      </c>
      <c r="H60" s="28" t="str">
        <f>Sales_Data!E60</f>
        <v>David Kim</v>
      </c>
    </row>
    <row r="61" ht="22.5" customHeight="1">
      <c r="A61" s="25"/>
      <c r="B61" s="24">
        <f>AVERAGE(Sales_Data!H61:H90)</f>
        <v>800</v>
      </c>
      <c r="C61" s="25" t="str">
        <f>IF(Sales_Data!C61&gt;0,"Active","Inactive")</f>
        <v>Active</v>
      </c>
      <c r="D61" s="25"/>
      <c r="E61" s="25"/>
      <c r="F61" s="27" t="str">
        <f>IF(Sales_Data!H61&gt;=2000,"High",IF(Sales_Data!H61&gt;=1000,"Medium",IF(Sales_Data!H61&gt;0,"Low","No Sale")))</f>
        <v>Low</v>
      </c>
      <c r="G61" s="27">
        <f>SUMIF(Sales_Data!$E$2:$E$31,Sales_Data!E61,Sales_Data!$H$2:$H$31)</f>
        <v>10345</v>
      </c>
      <c r="H61" s="28" t="str">
        <f>Sales_Data!E61</f>
        <v>Luis Garcia</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7.63"/>
    <col customWidth="1" min="3" max="3" width="19.38"/>
    <col customWidth="1" min="6" max="6" width="16.0"/>
  </cols>
  <sheetData>
    <row r="1">
      <c r="A1" s="31" t="s">
        <v>119</v>
      </c>
    </row>
    <row r="2" ht="77.25" customHeight="1"/>
    <row r="4">
      <c r="A4" s="31" t="s">
        <v>120</v>
      </c>
    </row>
    <row r="5"/>
    <row r="6"/>
    <row r="7"/>
    <row r="8"/>
    <row r="9"/>
    <row r="10"/>
    <row r="11"/>
    <row r="18">
      <c r="A18" s="31" t="s">
        <v>123</v>
      </c>
    </row>
    <row r="19"/>
    <row r="20"/>
    <row r="21"/>
    <row r="22"/>
    <row r="23"/>
  </sheetData>
  <drawing r:id="rId3"/>
  <extLst>
    <ext uri="{3A4CF648-6AED-40f4-86FF-DC5316D8AED3}">
      <x14:slicerList>
        <x14:slicer r:id="rId4"/>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 customWidth="1" min="3" max="3" width="12.25"/>
    <col customWidth="1" min="4" max="4" width="14.88"/>
    <col customWidth="1" min="5" max="5" width="14.5"/>
    <col customWidth="1" min="6" max="6" width="14.63"/>
  </cols>
  <sheetData>
    <row r="2">
      <c r="B2" s="36" t="s">
        <v>129</v>
      </c>
    </row>
    <row r="4">
      <c r="C4" s="37" t="s">
        <v>130</v>
      </c>
      <c r="D4" s="37" t="s">
        <v>131</v>
      </c>
      <c r="E4" s="37" t="s">
        <v>132</v>
      </c>
      <c r="F4" s="37" t="s">
        <v>133</v>
      </c>
    </row>
    <row r="5">
      <c r="C5" s="33">
        <f>SUM('Analytics Summary'!C20:C22)</f>
        <v>99346</v>
      </c>
      <c r="D5" s="33">
        <f>AVERAGE('Analytics Summary'!C20:C22)</f>
        <v>33115.33333</v>
      </c>
      <c r="E5" s="33">
        <f>MAX('Analytics Summary'!C20:C22)</f>
        <v>48590</v>
      </c>
      <c r="F5" s="33">
        <f>MIN('Analytics Summary'!C20:C22)</f>
        <v>6582</v>
      </c>
    </row>
    <row r="12">
      <c r="B12" s="31"/>
      <c r="C12" s="31"/>
    </row>
  </sheetData>
  <mergeCells count="1">
    <mergeCell ref="B2:G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50.5"/>
  </cols>
  <sheetData>
    <row r="1">
      <c r="A1" s="31" t="s">
        <v>134</v>
      </c>
      <c r="B1" s="31" t="s">
        <v>135</v>
      </c>
    </row>
    <row r="2">
      <c r="A2" s="31" t="s">
        <v>136</v>
      </c>
      <c r="B2" s="31" t="s">
        <v>137</v>
      </c>
    </row>
    <row r="3">
      <c r="A3" s="31" t="s">
        <v>138</v>
      </c>
      <c r="B3" s="31" t="s">
        <v>139</v>
      </c>
    </row>
    <row r="4">
      <c r="A4" s="31" t="s">
        <v>140</v>
      </c>
      <c r="B4" s="38" t="s">
        <v>141</v>
      </c>
    </row>
    <row r="5">
      <c r="A5" s="39" t="s">
        <v>142</v>
      </c>
    </row>
    <row r="6" ht="32.25" customHeight="1"/>
    <row r="7" ht="21.75" customHeight="1">
      <c r="A7" s="38" t="s">
        <v>143</v>
      </c>
    </row>
    <row r="8" ht="31.5" customHeight="1">
      <c r="A8" s="39" t="s">
        <v>144</v>
      </c>
    </row>
    <row r="9" ht="32.25" customHeight="1">
      <c r="A9" s="39" t="s">
        <v>145</v>
      </c>
    </row>
    <row r="10" ht="33.0" customHeight="1">
      <c r="A10" s="39" t="s">
        <v>146</v>
      </c>
    </row>
    <row r="11" ht="34.5" customHeight="1">
      <c r="A11" s="39" t="s">
        <v>147</v>
      </c>
    </row>
  </sheetData>
  <mergeCells count="6">
    <mergeCell ref="A5:B6"/>
    <mergeCell ref="A7:B7"/>
    <mergeCell ref="A8:B8"/>
    <mergeCell ref="A9:B9"/>
    <mergeCell ref="A10:B10"/>
    <mergeCell ref="A11:B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148</v>
      </c>
      <c r="B1" s="41"/>
      <c r="C1" s="41"/>
      <c r="D1" s="41"/>
      <c r="E1" s="41"/>
      <c r="F1" s="42"/>
    </row>
    <row r="2">
      <c r="A2" s="43"/>
      <c r="F2" s="44"/>
    </row>
    <row r="3">
      <c r="A3" s="45" t="s">
        <v>149</v>
      </c>
      <c r="F3" s="44"/>
    </row>
    <row r="4">
      <c r="A4" s="45"/>
      <c r="F4" s="44"/>
    </row>
    <row r="5">
      <c r="A5" s="45" t="s">
        <v>150</v>
      </c>
      <c r="F5" s="44"/>
    </row>
    <row r="6">
      <c r="A6" s="46" t="s">
        <v>151</v>
      </c>
      <c r="B6" s="47"/>
      <c r="C6" s="47"/>
      <c r="D6" s="47"/>
      <c r="E6" s="47"/>
      <c r="F6" s="48"/>
    </row>
    <row r="8">
      <c r="A8" s="49" t="s">
        <v>152</v>
      </c>
      <c r="B8" s="50" t="s">
        <v>153</v>
      </c>
      <c r="C8" s="51"/>
      <c r="D8" s="52"/>
      <c r="E8" s="49" t="s">
        <v>152</v>
      </c>
      <c r="F8" s="50" t="s">
        <v>154</v>
      </c>
      <c r="G8" s="51"/>
      <c r="H8" s="52"/>
      <c r="I8" s="49" t="s">
        <v>152</v>
      </c>
      <c r="J8" s="50" t="s">
        <v>155</v>
      </c>
      <c r="K8" s="51"/>
      <c r="L8" s="52"/>
      <c r="M8" s="49" t="s">
        <v>152</v>
      </c>
      <c r="N8" s="50" t="s">
        <v>156</v>
      </c>
      <c r="O8" s="51"/>
      <c r="P8" s="52"/>
    </row>
    <row r="9">
      <c r="A9" s="53" t="s">
        <v>157</v>
      </c>
      <c r="B9" s="54" t="s">
        <v>158</v>
      </c>
      <c r="C9" s="55"/>
      <c r="D9" s="15"/>
      <c r="E9" s="56" t="s">
        <v>157</v>
      </c>
      <c r="F9" s="54" t="s">
        <v>159</v>
      </c>
      <c r="G9" s="55"/>
      <c r="H9" s="15"/>
      <c r="I9" s="53" t="s">
        <v>157</v>
      </c>
      <c r="J9" s="54" t="s">
        <v>160</v>
      </c>
      <c r="K9" s="55"/>
      <c r="L9" s="15"/>
      <c r="M9" s="53" t="s">
        <v>157</v>
      </c>
      <c r="N9" s="54" t="s">
        <v>161</v>
      </c>
      <c r="O9" s="55"/>
      <c r="P9" s="15"/>
    </row>
    <row r="10">
      <c r="A10" s="57" t="s">
        <v>162</v>
      </c>
      <c r="B10" s="55"/>
      <c r="C10" s="55"/>
      <c r="D10" s="15"/>
      <c r="E10" s="58" t="s">
        <v>162</v>
      </c>
      <c r="F10" s="55"/>
      <c r="G10" s="55"/>
      <c r="H10" s="15"/>
      <c r="I10" s="58" t="s">
        <v>162</v>
      </c>
      <c r="J10" s="55"/>
      <c r="K10" s="55"/>
      <c r="L10" s="15"/>
      <c r="M10" s="58" t="s">
        <v>162</v>
      </c>
      <c r="N10" s="55"/>
      <c r="O10" s="55"/>
      <c r="P10" s="15"/>
    </row>
    <row r="11">
      <c r="A11" s="59" t="s">
        <v>163</v>
      </c>
      <c r="D11" s="14"/>
      <c r="E11" s="60" t="s">
        <v>164</v>
      </c>
      <c r="H11" s="14"/>
      <c r="I11" s="60" t="s">
        <v>165</v>
      </c>
      <c r="L11" s="14"/>
      <c r="M11" s="59" t="s">
        <v>161</v>
      </c>
      <c r="P11" s="14"/>
    </row>
    <row r="12">
      <c r="A12" s="61"/>
      <c r="D12" s="14"/>
      <c r="E12" s="61"/>
      <c r="H12" s="14"/>
      <c r="I12" s="61"/>
      <c r="L12" s="14"/>
      <c r="M12" s="61"/>
      <c r="P12" s="14"/>
    </row>
    <row r="13">
      <c r="A13" s="61"/>
      <c r="D13" s="14"/>
      <c r="E13" s="61"/>
      <c r="H13" s="14"/>
      <c r="I13" s="61"/>
      <c r="L13" s="14"/>
      <c r="M13" s="61"/>
      <c r="P13" s="14"/>
    </row>
    <row r="14">
      <c r="A14" s="61"/>
      <c r="D14" s="14"/>
      <c r="E14" s="61"/>
      <c r="H14" s="14"/>
      <c r="I14" s="61"/>
      <c r="L14" s="14"/>
      <c r="M14" s="61"/>
      <c r="P14" s="14"/>
    </row>
    <row r="15">
      <c r="A15" s="61"/>
      <c r="D15" s="14"/>
      <c r="E15" s="61"/>
      <c r="H15" s="14"/>
      <c r="I15" s="61"/>
      <c r="L15" s="14"/>
      <c r="M15" s="61"/>
      <c r="P15" s="14"/>
    </row>
    <row r="16">
      <c r="A16" s="61"/>
      <c r="D16" s="14"/>
      <c r="E16" s="61"/>
      <c r="H16" s="14"/>
      <c r="I16" s="61"/>
      <c r="L16" s="14"/>
      <c r="M16" s="61"/>
      <c r="P16" s="14"/>
    </row>
    <row r="17">
      <c r="A17" s="61"/>
      <c r="D17" s="14"/>
      <c r="E17" s="61"/>
      <c r="H17" s="14"/>
      <c r="I17" s="61"/>
      <c r="L17" s="14"/>
      <c r="M17" s="61"/>
      <c r="P17" s="14"/>
    </row>
    <row r="18">
      <c r="A18" s="61"/>
      <c r="D18" s="14"/>
      <c r="E18" s="61"/>
      <c r="H18" s="14"/>
      <c r="I18" s="61"/>
      <c r="L18" s="14"/>
      <c r="M18" s="61"/>
      <c r="P18" s="14"/>
      <c r="Q18" s="59" t="s">
        <v>161</v>
      </c>
      <c r="T18" s="14"/>
    </row>
    <row r="19">
      <c r="A19" s="61"/>
      <c r="D19" s="14"/>
      <c r="E19" s="61"/>
      <c r="H19" s="14"/>
      <c r="I19" s="61"/>
      <c r="L19" s="14"/>
      <c r="M19" s="61"/>
      <c r="P19" s="14"/>
      <c r="Q19" s="61"/>
      <c r="T19" s="14"/>
    </row>
    <row r="20">
      <c r="A20" s="61"/>
      <c r="D20" s="14"/>
      <c r="E20" s="61"/>
      <c r="H20" s="14"/>
      <c r="I20" s="61"/>
      <c r="L20" s="14"/>
      <c r="M20" s="61"/>
      <c r="P20" s="14"/>
      <c r="Q20" s="61"/>
      <c r="T20" s="14"/>
    </row>
    <row r="21">
      <c r="A21" s="61"/>
      <c r="D21" s="14"/>
      <c r="E21" s="61"/>
      <c r="H21" s="14"/>
      <c r="I21" s="61"/>
      <c r="L21" s="14"/>
      <c r="M21" s="61"/>
      <c r="P21" s="14"/>
      <c r="Q21" s="61"/>
      <c r="T21" s="14"/>
    </row>
    <row r="22">
      <c r="A22" s="62"/>
      <c r="B22" s="55"/>
      <c r="C22" s="55"/>
      <c r="D22" s="15"/>
      <c r="E22" s="62"/>
      <c r="F22" s="55"/>
      <c r="G22" s="55"/>
      <c r="H22" s="15"/>
      <c r="I22" s="62"/>
      <c r="J22" s="55"/>
      <c r="K22" s="55"/>
      <c r="L22" s="15"/>
      <c r="M22" s="62"/>
      <c r="N22" s="55"/>
      <c r="O22" s="55"/>
      <c r="P22" s="15"/>
      <c r="Q22" s="61"/>
      <c r="T22" s="14"/>
    </row>
    <row r="23">
      <c r="A23" s="49" t="s">
        <v>152</v>
      </c>
      <c r="B23" s="50" t="s">
        <v>166</v>
      </c>
      <c r="C23" s="51"/>
      <c r="D23" s="52"/>
      <c r="E23" s="49" t="s">
        <v>152</v>
      </c>
      <c r="F23" s="50" t="s">
        <v>167</v>
      </c>
      <c r="G23" s="51"/>
      <c r="H23" s="52"/>
      <c r="I23" s="49" t="s">
        <v>152</v>
      </c>
      <c r="J23" s="50" t="s">
        <v>168</v>
      </c>
      <c r="K23" s="51"/>
      <c r="L23" s="52"/>
      <c r="M23" s="49" t="s">
        <v>152</v>
      </c>
      <c r="N23" s="50" t="s">
        <v>169</v>
      </c>
      <c r="O23" s="51"/>
      <c r="P23" s="52"/>
      <c r="Q23" s="61"/>
      <c r="T23" s="14"/>
    </row>
    <row r="24">
      <c r="A24" s="53" t="s">
        <v>157</v>
      </c>
      <c r="B24" s="54" t="s">
        <v>170</v>
      </c>
      <c r="C24" s="55"/>
      <c r="D24" s="15"/>
      <c r="E24" s="53" t="s">
        <v>157</v>
      </c>
      <c r="F24" s="54" t="s">
        <v>171</v>
      </c>
      <c r="G24" s="55"/>
      <c r="H24" s="15"/>
      <c r="I24" s="53" t="s">
        <v>157</v>
      </c>
      <c r="J24" s="54" t="s">
        <v>172</v>
      </c>
      <c r="K24" s="55"/>
      <c r="L24" s="15"/>
      <c r="M24" s="53" t="s">
        <v>157</v>
      </c>
      <c r="N24" s="54" t="s">
        <v>173</v>
      </c>
      <c r="O24" s="55"/>
      <c r="P24" s="15"/>
      <c r="Q24" s="61"/>
      <c r="T24" s="14"/>
    </row>
    <row r="25">
      <c r="A25" s="58" t="s">
        <v>162</v>
      </c>
      <c r="B25" s="55"/>
      <c r="C25" s="55"/>
      <c r="D25" s="15"/>
      <c r="E25" s="58" t="s">
        <v>162</v>
      </c>
      <c r="F25" s="55"/>
      <c r="G25" s="55"/>
      <c r="H25" s="15"/>
      <c r="I25" s="58" t="s">
        <v>162</v>
      </c>
      <c r="J25" s="55"/>
      <c r="K25" s="55"/>
      <c r="L25" s="15"/>
      <c r="M25" s="58" t="s">
        <v>162</v>
      </c>
      <c r="N25" s="55"/>
      <c r="O25" s="55"/>
      <c r="P25" s="15"/>
      <c r="Q25" s="61"/>
      <c r="T25" s="14"/>
    </row>
    <row r="26">
      <c r="A26" s="59" t="s">
        <v>174</v>
      </c>
      <c r="D26" s="14"/>
      <c r="E26" s="59" t="s">
        <v>175</v>
      </c>
      <c r="H26" s="14"/>
      <c r="I26" s="59" t="s">
        <v>176</v>
      </c>
      <c r="L26" s="14"/>
      <c r="M26" s="59" t="s">
        <v>161</v>
      </c>
      <c r="P26" s="14"/>
      <c r="Q26" s="61"/>
      <c r="T26" s="14"/>
    </row>
    <row r="27">
      <c r="A27" s="61"/>
      <c r="D27" s="14"/>
      <c r="E27" s="61"/>
      <c r="H27" s="14"/>
      <c r="I27" s="61"/>
      <c r="L27" s="14"/>
      <c r="M27" s="61"/>
      <c r="P27" s="14"/>
      <c r="Q27" s="61"/>
      <c r="T27" s="14"/>
    </row>
    <row r="28">
      <c r="A28" s="61"/>
      <c r="D28" s="14"/>
      <c r="E28" s="61"/>
      <c r="H28" s="14"/>
      <c r="I28" s="61"/>
      <c r="L28" s="14"/>
      <c r="M28" s="61"/>
      <c r="P28" s="14"/>
      <c r="Q28" s="61"/>
      <c r="T28" s="14"/>
    </row>
    <row r="29">
      <c r="A29" s="61"/>
      <c r="D29" s="14"/>
      <c r="E29" s="61"/>
      <c r="H29" s="14"/>
      <c r="I29" s="61"/>
      <c r="L29" s="14"/>
      <c r="M29" s="61"/>
      <c r="P29" s="14"/>
      <c r="Q29" s="62"/>
      <c r="R29" s="55"/>
      <c r="S29" s="55"/>
      <c r="T29" s="15"/>
    </row>
    <row r="30">
      <c r="A30" s="61"/>
      <c r="D30" s="14"/>
      <c r="E30" s="61"/>
      <c r="H30" s="14"/>
      <c r="I30" s="61"/>
      <c r="L30" s="14"/>
      <c r="M30" s="61"/>
      <c r="P30" s="14"/>
    </row>
    <row r="31">
      <c r="A31" s="61"/>
      <c r="D31" s="14"/>
      <c r="E31" s="61"/>
      <c r="H31" s="14"/>
      <c r="I31" s="61"/>
      <c r="L31" s="14"/>
      <c r="M31" s="61"/>
      <c r="P31" s="14"/>
    </row>
    <row r="32">
      <c r="A32" s="61"/>
      <c r="D32" s="14"/>
      <c r="E32" s="61"/>
      <c r="H32" s="14"/>
      <c r="I32" s="61"/>
      <c r="L32" s="14"/>
      <c r="M32" s="61"/>
      <c r="P32" s="14"/>
    </row>
    <row r="33">
      <c r="A33" s="61"/>
      <c r="D33" s="14"/>
      <c r="E33" s="61"/>
      <c r="H33" s="14"/>
      <c r="I33" s="61"/>
      <c r="L33" s="14"/>
      <c r="M33" s="61"/>
      <c r="P33" s="14"/>
    </row>
    <row r="34">
      <c r="A34" s="61"/>
      <c r="D34" s="14"/>
      <c r="E34" s="61"/>
      <c r="H34" s="14"/>
      <c r="I34" s="61"/>
      <c r="L34" s="14"/>
      <c r="M34" s="61"/>
      <c r="P34" s="14"/>
    </row>
    <row r="35">
      <c r="A35" s="61"/>
      <c r="D35" s="14"/>
      <c r="E35" s="61"/>
      <c r="H35" s="14"/>
      <c r="I35" s="61"/>
      <c r="L35" s="14"/>
      <c r="M35" s="61"/>
      <c r="P35" s="14"/>
    </row>
    <row r="36">
      <c r="A36" s="61"/>
      <c r="D36" s="14"/>
      <c r="E36" s="61"/>
      <c r="H36" s="14"/>
      <c r="I36" s="61"/>
      <c r="L36" s="14"/>
      <c r="M36" s="61"/>
      <c r="P36" s="14"/>
    </row>
    <row r="37">
      <c r="A37" s="62"/>
      <c r="B37" s="55"/>
      <c r="C37" s="55"/>
      <c r="D37" s="15"/>
      <c r="E37" s="62"/>
      <c r="F37" s="55"/>
      <c r="G37" s="55"/>
      <c r="H37" s="15"/>
      <c r="I37" s="62"/>
      <c r="J37" s="55"/>
      <c r="K37" s="55"/>
      <c r="L37" s="15"/>
      <c r="M37" s="62"/>
      <c r="N37" s="55"/>
      <c r="O37" s="55"/>
      <c r="P37" s="15"/>
    </row>
  </sheetData>
  <mergeCells count="33">
    <mergeCell ref="B8:D8"/>
    <mergeCell ref="F8:H8"/>
    <mergeCell ref="J8:L8"/>
    <mergeCell ref="N8:P8"/>
    <mergeCell ref="F9:H9"/>
    <mergeCell ref="J9:L9"/>
    <mergeCell ref="N9:P9"/>
    <mergeCell ref="B9:D9"/>
    <mergeCell ref="A10:D10"/>
    <mergeCell ref="E10:H10"/>
    <mergeCell ref="I10:L10"/>
    <mergeCell ref="M10:P10"/>
    <mergeCell ref="A11:D22"/>
    <mergeCell ref="E11:H22"/>
    <mergeCell ref="I25:L25"/>
    <mergeCell ref="M25:P25"/>
    <mergeCell ref="I11:L22"/>
    <mergeCell ref="M11:P22"/>
    <mergeCell ref="Q18:T29"/>
    <mergeCell ref="J23:L23"/>
    <mergeCell ref="N23:P23"/>
    <mergeCell ref="J24:L24"/>
    <mergeCell ref="N24:P24"/>
    <mergeCell ref="E26:H37"/>
    <mergeCell ref="I26:L37"/>
    <mergeCell ref="M26:P37"/>
    <mergeCell ref="B23:D23"/>
    <mergeCell ref="F23:H23"/>
    <mergeCell ref="B24:D24"/>
    <mergeCell ref="F24:H24"/>
    <mergeCell ref="A25:D25"/>
    <mergeCell ref="E25:H25"/>
    <mergeCell ref="A26:D37"/>
  </mergeCells>
  <drawing r:id="rId1"/>
</worksheet>
</file>